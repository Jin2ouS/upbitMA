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\GitHub\upbitMA\"/>
    </mc:Choice>
  </mc:AlternateContent>
  <xr:revisionPtr revIDLastSave="0" documentId="13_ncr:1_{21190524-0649-442D-8873-C9FF814C6CEF}" xr6:coauthVersionLast="47" xr6:coauthVersionMax="47" xr10:uidLastSave="{00000000-0000-0000-0000-000000000000}"/>
  <bookViews>
    <workbookView xWindow="28665" yWindow="1470" windowWidth="26250" windowHeight="23445" xr2:uid="{00000000-000D-0000-FFFF-FFFF00000000}"/>
  </bookViews>
  <sheets>
    <sheet name="list" sheetId="1" r:id="rId1"/>
  </sheets>
  <definedNames>
    <definedName name="_xlnm._FilterDatabase" localSheetId="0" hidden="1">list!$B$1:$K$45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C37" i="1"/>
  <c r="C38" i="1"/>
  <c r="C39" i="1"/>
  <c r="C40" i="1"/>
  <c r="C41" i="1"/>
  <c r="C42" i="1"/>
  <c r="C43" i="1"/>
  <c r="C44" i="1"/>
  <c r="C45" i="1"/>
  <c r="E38" i="1" l="1"/>
  <c r="D38" i="1"/>
  <c r="E37" i="1"/>
  <c r="D37" i="1"/>
  <c r="E12" i="1"/>
  <c r="D12" i="1"/>
  <c r="E11" i="1"/>
  <c r="D11" i="1"/>
  <c r="E10" i="1"/>
  <c r="D10" i="1"/>
  <c r="E9" i="1"/>
  <c r="D9" i="1"/>
  <c r="E8" i="1"/>
  <c r="D8" i="1"/>
  <c r="E7" i="1"/>
  <c r="D7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6" i="1" l="1"/>
  <c r="E5" i="1"/>
  <c r="E4" i="1"/>
  <c r="E3" i="1"/>
  <c r="E2" i="1"/>
  <c r="D5" i="1"/>
  <c r="D3" i="1"/>
  <c r="D2" i="1"/>
  <c r="D6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tc={1D03976F-BBC9-48DC-AEDC-4883ED00B8FE}</author>
  </authors>
  <commentList>
    <comment ref="I1" authorId="0" shapeId="0" xr:uid="{1D03976F-BBC9-48DC-AEDC-4883ED00B8F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수식 고려 0은 사용 금지 (0.01, -0.01로 대체)
-10, -50, 0.1, -0.1, 100</t>
      </text>
    </comment>
  </commentList>
</comments>
</file>

<file path=xl/sharedStrings.xml><?xml version="1.0" encoding="utf-8"?>
<sst xmlns="http://schemas.openxmlformats.org/spreadsheetml/2006/main" count="164" uniqueCount="40">
  <si>
    <t>일자</t>
    <phoneticPr fontId="2" type="noConversion"/>
  </si>
  <si>
    <t>비율</t>
    <phoneticPr fontId="2" type="noConversion"/>
  </si>
  <si>
    <t>수정일</t>
    <phoneticPr fontId="2" type="noConversion"/>
  </si>
  <si>
    <t>비고</t>
    <phoneticPr fontId="2" type="noConversion"/>
  </si>
  <si>
    <t>테스트</t>
    <phoneticPr fontId="2" type="noConversion"/>
  </si>
  <si>
    <t>테스트 - 고점 갱신</t>
    <phoneticPr fontId="2" type="noConversion"/>
  </si>
  <si>
    <t>삼성전자</t>
    <phoneticPr fontId="2" type="noConversion"/>
  </si>
  <si>
    <t>LG에너지솔루션</t>
    <phoneticPr fontId="2" type="noConversion"/>
  </si>
  <si>
    <t>SK하이닉스</t>
    <phoneticPr fontId="2" type="noConversion"/>
  </si>
  <si>
    <t>삼성에스디에스</t>
    <phoneticPr fontId="2" type="noConversion"/>
  </si>
  <si>
    <t>삼성SDI</t>
    <phoneticPr fontId="2" type="noConversion"/>
  </si>
  <si>
    <t>테스트 - 매도 3차</t>
    <phoneticPr fontId="2" type="noConversion"/>
  </si>
  <si>
    <t>테스트 - 임계치 도달 (-10%)</t>
    <phoneticPr fontId="2" type="noConversion"/>
  </si>
  <si>
    <t>테스트 - 기준봉 C1 매수</t>
    <phoneticPr fontId="2" type="noConversion"/>
  </si>
  <si>
    <t>테스트 - 기준봉 C2 매도</t>
    <phoneticPr fontId="2" type="noConversion"/>
  </si>
  <si>
    <t>기준가격</t>
    <phoneticPr fontId="2" type="noConversion"/>
  </si>
  <si>
    <t>X</t>
    <phoneticPr fontId="2" type="noConversion"/>
  </si>
  <si>
    <t>O</t>
    <phoneticPr fontId="2" type="noConversion"/>
  </si>
  <si>
    <t>감시중</t>
    <phoneticPr fontId="2" type="noConversion"/>
  </si>
  <si>
    <t>종목명</t>
    <phoneticPr fontId="2" type="noConversion"/>
  </si>
  <si>
    <t>감시사유</t>
    <phoneticPr fontId="2" type="noConversion"/>
  </si>
  <si>
    <t>감시가격</t>
    <phoneticPr fontId="2" type="noConversion"/>
  </si>
  <si>
    <t>감시조건</t>
    <phoneticPr fontId="2" type="noConversion"/>
  </si>
  <si>
    <t>20일선</t>
    <phoneticPr fontId="2" type="noConversion"/>
  </si>
  <si>
    <t>O</t>
  </si>
  <si>
    <t>O</t>
    <phoneticPr fontId="2" type="noConversion"/>
  </si>
  <si>
    <t>Env2 매매 샘플</t>
    <phoneticPr fontId="2" type="noConversion"/>
  </si>
  <si>
    <t>Env2 감시 샘플 주도주</t>
    <phoneticPr fontId="2" type="noConversion"/>
  </si>
  <si>
    <t>ETH/KRW</t>
    <phoneticPr fontId="6" type="noConversion"/>
  </si>
  <si>
    <t>Env-매도 1차</t>
    <phoneticPr fontId="6" type="noConversion"/>
  </si>
  <si>
    <t>Env-매도 2차</t>
    <phoneticPr fontId="6" type="noConversion"/>
  </si>
  <si>
    <t>Env-매도 3차</t>
    <phoneticPr fontId="6" type="noConversion"/>
  </si>
  <si>
    <t>Env-매도 4차</t>
    <phoneticPr fontId="6" type="noConversion"/>
  </si>
  <si>
    <t>Env-매수 2차</t>
    <phoneticPr fontId="6" type="noConversion"/>
  </si>
  <si>
    <t>Env-매수 3차</t>
    <phoneticPr fontId="6" type="noConversion"/>
  </si>
  <si>
    <t>ADA/KRW</t>
    <phoneticPr fontId="6" type="noConversion"/>
  </si>
  <si>
    <t>SUI/KRW</t>
    <phoneticPr fontId="6" type="noConversion"/>
  </si>
  <si>
    <t>DOGE/KRW</t>
    <phoneticPr fontId="6" type="noConversion"/>
  </si>
  <si>
    <t>SOL/KRW</t>
    <phoneticPr fontId="6" type="noConversion"/>
  </si>
  <si>
    <t>Env 매매중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</si>
</sst>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yyyy/mm/dd\ \(aaa\)"/>
    <numFmt numFmtId="177" formatCode="m\/dd\ \(aaa\)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42" fontId="0" fillId="0" borderId="0" xfId="1" applyFont="1" applyAlignment="1"/>
    <xf numFmtId="0" fontId="0" fillId="0" borderId="0" xfId="0" applyAlignment="1">
      <alignment horizontal="center"/>
    </xf>
    <xf numFmtId="9" fontId="0" fillId="0" borderId="0" xfId="5" applyFont="1" applyAlignment="1"/>
    <xf numFmtId="14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42" fontId="0" fillId="2" borderId="0" xfId="1" applyFont="1" applyFill="1" applyAlignment="1"/>
    <xf numFmtId="9" fontId="0" fillId="2" borderId="0" xfId="5" applyFont="1" applyFill="1" applyAlignment="1"/>
    <xf numFmtId="14" fontId="0" fillId="2" borderId="0" xfId="0" applyNumberForma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42" fontId="3" fillId="2" borderId="0" xfId="0" applyNumberFormat="1" applyFont="1" applyFill="1"/>
    <xf numFmtId="42" fontId="3" fillId="0" borderId="0" xfId="0" applyNumberFormat="1" applyFont="1"/>
    <xf numFmtId="0" fontId="3" fillId="0" borderId="0" xfId="0" applyFont="1"/>
    <xf numFmtId="177" fontId="0" fillId="2" borderId="0" xfId="0" applyNumberFormat="1" applyFill="1" applyAlignment="1">
      <alignment horizontal="center"/>
    </xf>
    <xf numFmtId="177" fontId="0" fillId="0" borderId="0" xfId="0" applyNumberFormat="1" applyAlignment="1">
      <alignment horizontal="center"/>
    </xf>
    <xf numFmtId="42" fontId="3" fillId="0" borderId="0" xfId="1" applyFont="1" applyAlignment="1">
      <alignment horizontal="right"/>
    </xf>
    <xf numFmtId="42" fontId="0" fillId="0" borderId="0" xfId="1" applyFont="1" applyAlignment="1">
      <alignment horizontal="right"/>
    </xf>
    <xf numFmtId="0" fontId="0" fillId="3" borderId="0" xfId="0" applyFill="1"/>
    <xf numFmtId="0" fontId="5" fillId="0" borderId="0" xfId="0" applyFont="1" applyAlignment="1">
      <alignment vertical="center"/>
    </xf>
  </cellXfs>
  <cellStyles count="6">
    <cellStyle name="백분율" xfId="5" builtinId="5"/>
    <cellStyle name="백분율 2" xfId="4" xr:uid="{865F7EF8-8F1C-458C-8814-3BBC83C927EA}"/>
    <cellStyle name="통화 [0]" xfId="1" builtinId="7"/>
    <cellStyle name="통화 [0] 2" xfId="3" xr:uid="{DCAE555E-2A51-4013-BC57-404212C85491}"/>
    <cellStyle name="표준" xfId="0" builtinId="0"/>
    <cellStyle name="표준 2" xfId="2" xr:uid="{F15AC4EA-E4F9-4CCB-A90B-293F4328DE18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GJIN PARK" id="{905A223E-9B25-4F83-8AB6-E5D91EDBF12F}" userId="c90f761adb2e25d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5-04-19T13:51:22.67" personId="{905A223E-9B25-4F83-8AB6-E5D91EDBF12F}" id="{1D03976F-BBC9-48DC-AEDC-4883ED00B8FE}">
    <text>수식 고려 0은 사용 금지 (0.01, -0.01로 대체)
-10, -50, 0.1, -0.1, 100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6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6.5" x14ac:dyDescent="0.3"/>
  <cols>
    <col min="1" max="1" width="7.375" style="2" bestFit="1" customWidth="1"/>
    <col min="2" max="2" width="17.5" bestFit="1" customWidth="1"/>
    <col min="3" max="3" width="27" bestFit="1" customWidth="1"/>
    <col min="4" max="4" width="14" style="16" bestFit="1" customWidth="1"/>
    <col min="6" max="6" width="3.25" customWidth="1"/>
    <col min="7" max="7" width="15.25" style="2" bestFit="1" customWidth="1"/>
    <col min="8" max="8" width="11.875" customWidth="1"/>
    <col min="10" max="10" width="10" style="2" bestFit="1" customWidth="1"/>
    <col min="11" max="11" width="13.875" style="2" bestFit="1" customWidth="1"/>
    <col min="12" max="12" width="1.5" style="2" customWidth="1"/>
    <col min="13" max="13" width="9.75" bestFit="1" customWidth="1"/>
  </cols>
  <sheetData>
    <row r="1" spans="1:12" x14ac:dyDescent="0.3">
      <c r="A1" s="12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G1" s="12" t="s">
        <v>0</v>
      </c>
      <c r="H1" s="12" t="s">
        <v>15</v>
      </c>
      <c r="I1" s="12" t="s">
        <v>1</v>
      </c>
      <c r="J1" s="13" t="s">
        <v>2</v>
      </c>
      <c r="K1" s="13" t="s">
        <v>3</v>
      </c>
      <c r="L1"/>
    </row>
    <row r="2" spans="1:12" x14ac:dyDescent="0.3">
      <c r="A2" s="2" t="s">
        <v>16</v>
      </c>
      <c r="B2" s="6" t="s">
        <v>6</v>
      </c>
      <c r="C2" s="6" t="s">
        <v>5</v>
      </c>
      <c r="D2" s="14">
        <f t="shared" ref="D2:D6" si="0">H2*(1+I2)</f>
        <v>55000.000000000007</v>
      </c>
      <c r="E2" s="7" t="str">
        <f t="shared" ref="E2:E24" si="1">IF(I2,(IF(I2&gt;0,"이상","이하")),"N/A")</f>
        <v>이상</v>
      </c>
      <c r="F2" s="7"/>
      <c r="G2" s="8">
        <v>45365</v>
      </c>
      <c r="H2" s="9">
        <v>50000</v>
      </c>
      <c r="I2" s="10">
        <v>0.1</v>
      </c>
      <c r="J2" s="17">
        <v>45766</v>
      </c>
      <c r="K2" s="11" t="s">
        <v>4</v>
      </c>
      <c r="L2"/>
    </row>
    <row r="3" spans="1:12" x14ac:dyDescent="0.3">
      <c r="A3" s="2" t="s">
        <v>16</v>
      </c>
      <c r="B3" s="6" t="s">
        <v>8</v>
      </c>
      <c r="C3" s="6" t="s">
        <v>11</v>
      </c>
      <c r="D3" s="14">
        <f t="shared" si="0"/>
        <v>170169.99999999997</v>
      </c>
      <c r="E3" s="7" t="str">
        <f t="shared" si="1"/>
        <v>이상</v>
      </c>
      <c r="F3" s="7"/>
      <c r="G3" s="8">
        <v>45365</v>
      </c>
      <c r="H3" s="9">
        <v>170000</v>
      </c>
      <c r="I3" s="10">
        <v>1E-3</v>
      </c>
      <c r="J3" s="17">
        <v>45766</v>
      </c>
      <c r="K3" s="11" t="s">
        <v>4</v>
      </c>
      <c r="L3"/>
    </row>
    <row r="4" spans="1:12" x14ac:dyDescent="0.3">
      <c r="A4" s="2" t="s">
        <v>16</v>
      </c>
      <c r="B4" s="6" t="s">
        <v>9</v>
      </c>
      <c r="C4" s="6" t="s">
        <v>12</v>
      </c>
      <c r="D4" s="14">
        <f t="shared" si="0"/>
        <v>189981</v>
      </c>
      <c r="E4" s="7" t="str">
        <f t="shared" si="1"/>
        <v>이하</v>
      </c>
      <c r="F4" s="7"/>
      <c r="G4" s="8">
        <v>45365</v>
      </c>
      <c r="H4" s="9">
        <v>190000</v>
      </c>
      <c r="I4" s="10">
        <v>-1E-4</v>
      </c>
      <c r="J4" s="17">
        <v>45766</v>
      </c>
      <c r="K4" s="11" t="s">
        <v>4</v>
      </c>
      <c r="L4"/>
    </row>
    <row r="5" spans="1:12" x14ac:dyDescent="0.3">
      <c r="A5" s="2" t="s">
        <v>16</v>
      </c>
      <c r="B5" s="6" t="s">
        <v>10</v>
      </c>
      <c r="C5" s="6" t="s">
        <v>13</v>
      </c>
      <c r="D5" s="14">
        <f t="shared" si="0"/>
        <v>199980</v>
      </c>
      <c r="E5" s="7" t="str">
        <f t="shared" si="1"/>
        <v>이하</v>
      </c>
      <c r="F5" s="7"/>
      <c r="G5" s="8">
        <v>45365</v>
      </c>
      <c r="H5" s="9">
        <v>200000</v>
      </c>
      <c r="I5" s="10">
        <v>-1E-4</v>
      </c>
      <c r="J5" s="17">
        <v>45766</v>
      </c>
      <c r="K5" s="11" t="s">
        <v>4</v>
      </c>
      <c r="L5"/>
    </row>
    <row r="6" spans="1:12" x14ac:dyDescent="0.3">
      <c r="A6" s="2" t="s">
        <v>16</v>
      </c>
      <c r="B6" s="6" t="s">
        <v>7</v>
      </c>
      <c r="C6" s="6" t="s">
        <v>14</v>
      </c>
      <c r="D6" s="14">
        <f t="shared" si="0"/>
        <v>243524.35</v>
      </c>
      <c r="E6" s="7" t="str">
        <f t="shared" si="1"/>
        <v>이상</v>
      </c>
      <c r="F6" s="7"/>
      <c r="G6" s="8">
        <v>45365</v>
      </c>
      <c r="H6" s="9">
        <v>243500</v>
      </c>
      <c r="I6" s="10">
        <v>1E-4</v>
      </c>
      <c r="J6" s="17">
        <v>45766</v>
      </c>
      <c r="K6" s="11" t="s">
        <v>4</v>
      </c>
      <c r="L6"/>
    </row>
    <row r="7" spans="1:12" x14ac:dyDescent="0.3">
      <c r="A7" s="2" t="s">
        <v>25</v>
      </c>
      <c r="B7" s="22" t="s">
        <v>28</v>
      </c>
      <c r="C7" s="22" t="s">
        <v>29</v>
      </c>
      <c r="D7" s="19">
        <f t="shared" ref="D7:D24" si="2">IF(ISERROR(H7*(1+I7)),H7&amp;","&amp;TEXT(I7*100, "0.0") &amp; "%",H7*(1+I7))</f>
        <v>3766350</v>
      </c>
      <c r="E7" s="2" t="str">
        <f t="shared" si="1"/>
        <v>이상</v>
      </c>
      <c r="F7" s="2"/>
      <c r="G7" s="5">
        <v>46054</v>
      </c>
      <c r="H7" s="20">
        <v>3587000</v>
      </c>
      <c r="I7" s="3">
        <v>0.05</v>
      </c>
      <c r="J7" s="18">
        <v>46056</v>
      </c>
      <c r="K7" s="4" t="s">
        <v>39</v>
      </c>
      <c r="L7" s="4"/>
    </row>
    <row r="8" spans="1:12" x14ac:dyDescent="0.3">
      <c r="A8" s="2" t="s">
        <v>24</v>
      </c>
      <c r="B8" s="22" t="s">
        <v>28</v>
      </c>
      <c r="C8" s="22" t="s">
        <v>30</v>
      </c>
      <c r="D8" s="19">
        <f t="shared" si="2"/>
        <v>3945700.0000000005</v>
      </c>
      <c r="E8" s="2" t="str">
        <f t="shared" si="1"/>
        <v>이상</v>
      </c>
      <c r="F8" s="2"/>
      <c r="G8" s="5">
        <v>46054</v>
      </c>
      <c r="H8" s="20">
        <v>3587000</v>
      </c>
      <c r="I8" s="3">
        <v>0.1</v>
      </c>
      <c r="J8" s="18">
        <v>46056</v>
      </c>
      <c r="K8" s="4" t="s">
        <v>39</v>
      </c>
      <c r="L8" s="4"/>
    </row>
    <row r="9" spans="1:12" x14ac:dyDescent="0.3">
      <c r="A9" s="2" t="s">
        <v>25</v>
      </c>
      <c r="B9" s="22" t="s">
        <v>28</v>
      </c>
      <c r="C9" s="22" t="s">
        <v>31</v>
      </c>
      <c r="D9" s="19">
        <f t="shared" si="2"/>
        <v>4125049.9999999995</v>
      </c>
      <c r="E9" s="2" t="str">
        <f t="shared" si="1"/>
        <v>이상</v>
      </c>
      <c r="F9" s="2"/>
      <c r="G9" s="5">
        <v>46054</v>
      </c>
      <c r="H9" s="20">
        <v>3587000</v>
      </c>
      <c r="I9" s="3">
        <v>0.15</v>
      </c>
      <c r="J9" s="18">
        <v>46056</v>
      </c>
      <c r="K9" s="4" t="s">
        <v>39</v>
      </c>
      <c r="L9" s="4"/>
    </row>
    <row r="10" spans="1:12" x14ac:dyDescent="0.3">
      <c r="A10" s="2" t="s">
        <v>24</v>
      </c>
      <c r="B10" s="22" t="s">
        <v>28</v>
      </c>
      <c r="C10" s="22" t="s">
        <v>32</v>
      </c>
      <c r="D10" s="19">
        <f t="shared" si="2"/>
        <v>4304400</v>
      </c>
      <c r="E10" s="2" t="str">
        <f t="shared" si="1"/>
        <v>이상</v>
      </c>
      <c r="F10" s="2"/>
      <c r="G10" s="5">
        <v>46054</v>
      </c>
      <c r="H10" s="20">
        <v>3587000</v>
      </c>
      <c r="I10" s="3">
        <v>0.2</v>
      </c>
      <c r="J10" s="18">
        <v>46056</v>
      </c>
      <c r="K10" s="4" t="s">
        <v>39</v>
      </c>
      <c r="L10" s="4"/>
    </row>
    <row r="11" spans="1:12" x14ac:dyDescent="0.3">
      <c r="A11" s="2" t="s">
        <v>25</v>
      </c>
      <c r="B11" s="22" t="s">
        <v>28</v>
      </c>
      <c r="C11" s="22" t="s">
        <v>33</v>
      </c>
      <c r="D11" s="19">
        <f t="shared" si="2"/>
        <v>2869600</v>
      </c>
      <c r="E11" s="2" t="str">
        <f t="shared" si="1"/>
        <v>이하</v>
      </c>
      <c r="F11" s="2"/>
      <c r="G11" s="5">
        <v>46054</v>
      </c>
      <c r="H11" s="20">
        <v>3587000</v>
      </c>
      <c r="I11" s="3">
        <v>-0.2</v>
      </c>
      <c r="J11" s="18">
        <v>46056</v>
      </c>
      <c r="K11" s="4" t="s">
        <v>39</v>
      </c>
      <c r="L11" s="4"/>
    </row>
    <row r="12" spans="1:12" x14ac:dyDescent="0.3">
      <c r="A12" s="2" t="s">
        <v>24</v>
      </c>
      <c r="B12" s="22" t="s">
        <v>28</v>
      </c>
      <c r="C12" s="22" t="s">
        <v>34</v>
      </c>
      <c r="D12" s="19">
        <f t="shared" si="2"/>
        <v>2152200</v>
      </c>
      <c r="E12" s="2" t="str">
        <f t="shared" si="1"/>
        <v>이하</v>
      </c>
      <c r="F12" s="2"/>
      <c r="G12" s="5">
        <v>46054</v>
      </c>
      <c r="H12" s="20">
        <v>3587000</v>
      </c>
      <c r="I12" s="3">
        <v>-0.4</v>
      </c>
      <c r="J12" s="18">
        <v>46056</v>
      </c>
      <c r="K12" s="4" t="s">
        <v>39</v>
      </c>
      <c r="L12" s="4"/>
    </row>
    <row r="13" spans="1:12" x14ac:dyDescent="0.3">
      <c r="A13" s="2" t="s">
        <v>17</v>
      </c>
      <c r="B13" s="22" t="s">
        <v>35</v>
      </c>
      <c r="C13" s="22" t="s">
        <v>29</v>
      </c>
      <c r="D13" s="19">
        <f t="shared" si="2"/>
        <v>360.4</v>
      </c>
      <c r="E13" s="2" t="str">
        <f t="shared" si="1"/>
        <v>이하</v>
      </c>
      <c r="F13" s="2"/>
      <c r="G13" s="5">
        <v>46054</v>
      </c>
      <c r="H13" s="20">
        <v>424</v>
      </c>
      <c r="I13" s="3">
        <v>-0.15</v>
      </c>
      <c r="J13" s="18">
        <v>46056</v>
      </c>
      <c r="K13" s="4" t="s">
        <v>39</v>
      </c>
      <c r="L13" s="4"/>
    </row>
    <row r="14" spans="1:12" x14ac:dyDescent="0.3">
      <c r="A14" s="2" t="s">
        <v>24</v>
      </c>
      <c r="B14" s="22" t="s">
        <v>35</v>
      </c>
      <c r="C14" s="22" t="s">
        <v>30</v>
      </c>
      <c r="D14" s="19">
        <f t="shared" si="2"/>
        <v>339.20000000000005</v>
      </c>
      <c r="E14" s="2" t="str">
        <f t="shared" si="1"/>
        <v>이하</v>
      </c>
      <c r="F14" s="2"/>
      <c r="G14" s="5">
        <v>46054</v>
      </c>
      <c r="H14" s="20">
        <v>424</v>
      </c>
      <c r="I14" s="3">
        <v>-0.2</v>
      </c>
      <c r="J14" s="18">
        <v>46056</v>
      </c>
      <c r="K14" s="4" t="s">
        <v>39</v>
      </c>
      <c r="L14" s="4"/>
    </row>
    <row r="15" spans="1:12" x14ac:dyDescent="0.3">
      <c r="A15" s="2" t="s">
        <v>17</v>
      </c>
      <c r="B15" s="22" t="s">
        <v>35</v>
      </c>
      <c r="C15" s="22" t="s">
        <v>31</v>
      </c>
      <c r="D15" s="19">
        <f t="shared" si="2"/>
        <v>360.4</v>
      </c>
      <c r="E15" s="2" t="str">
        <f t="shared" si="1"/>
        <v>이하</v>
      </c>
      <c r="F15" s="2"/>
      <c r="G15" s="5">
        <v>46054</v>
      </c>
      <c r="H15" s="20">
        <v>424</v>
      </c>
      <c r="I15" s="3">
        <v>-0.15</v>
      </c>
      <c r="J15" s="18">
        <v>46056</v>
      </c>
      <c r="K15" s="4" t="s">
        <v>39</v>
      </c>
      <c r="L15" s="4"/>
    </row>
    <row r="16" spans="1:12" x14ac:dyDescent="0.3">
      <c r="A16" s="2" t="s">
        <v>24</v>
      </c>
      <c r="B16" s="22" t="s">
        <v>35</v>
      </c>
      <c r="C16" s="22" t="s">
        <v>32</v>
      </c>
      <c r="D16" s="19">
        <f t="shared" si="2"/>
        <v>339.20000000000005</v>
      </c>
      <c r="E16" s="2" t="str">
        <f t="shared" si="1"/>
        <v>이하</v>
      </c>
      <c r="F16" s="2"/>
      <c r="G16" s="5">
        <v>46054</v>
      </c>
      <c r="H16" s="20">
        <v>424</v>
      </c>
      <c r="I16" s="3">
        <v>-0.2</v>
      </c>
      <c r="J16" s="18">
        <v>46056</v>
      </c>
      <c r="K16" s="4" t="s">
        <v>39</v>
      </c>
      <c r="L16" s="4"/>
    </row>
    <row r="17" spans="1:12" x14ac:dyDescent="0.3">
      <c r="A17" s="2" t="s">
        <v>17</v>
      </c>
      <c r="B17" s="22" t="s">
        <v>35</v>
      </c>
      <c r="C17" s="22" t="s">
        <v>33</v>
      </c>
      <c r="D17" s="19">
        <f t="shared" si="2"/>
        <v>360.4</v>
      </c>
      <c r="E17" s="2" t="str">
        <f t="shared" si="1"/>
        <v>이하</v>
      </c>
      <c r="F17" s="2"/>
      <c r="G17" s="5">
        <v>46054</v>
      </c>
      <c r="H17" s="20">
        <v>424</v>
      </c>
      <c r="I17" s="3">
        <v>-0.15</v>
      </c>
      <c r="J17" s="18">
        <v>46056</v>
      </c>
      <c r="K17" s="4" t="s">
        <v>39</v>
      </c>
      <c r="L17" s="4"/>
    </row>
    <row r="18" spans="1:12" x14ac:dyDescent="0.3">
      <c r="A18" s="2" t="s">
        <v>24</v>
      </c>
      <c r="B18" s="22" t="s">
        <v>35</v>
      </c>
      <c r="C18" s="22" t="s">
        <v>34</v>
      </c>
      <c r="D18" s="19">
        <f t="shared" si="2"/>
        <v>339.20000000000005</v>
      </c>
      <c r="E18" s="2" t="str">
        <f t="shared" si="1"/>
        <v>이하</v>
      </c>
      <c r="F18" s="2"/>
      <c r="G18" s="5">
        <v>46054</v>
      </c>
      <c r="H18" s="20">
        <v>424</v>
      </c>
      <c r="I18" s="3">
        <v>-0.2</v>
      </c>
      <c r="J18" s="18">
        <v>46056</v>
      </c>
      <c r="K18" s="4" t="s">
        <v>39</v>
      </c>
      <c r="L18" s="4"/>
    </row>
    <row r="19" spans="1:12" x14ac:dyDescent="0.3">
      <c r="A19" s="2" t="s">
        <v>17</v>
      </c>
      <c r="B19" s="22" t="s">
        <v>36</v>
      </c>
      <c r="C19" s="22" t="s">
        <v>29</v>
      </c>
      <c r="D19" s="19">
        <f t="shared" si="2"/>
        <v>1415.25</v>
      </c>
      <c r="E19" s="2" t="str">
        <f t="shared" si="1"/>
        <v>이하</v>
      </c>
      <c r="F19" s="2"/>
      <c r="G19" s="5">
        <v>46054</v>
      </c>
      <c r="H19" s="20">
        <v>1665</v>
      </c>
      <c r="I19" s="3">
        <v>-0.15</v>
      </c>
      <c r="J19" s="18">
        <v>46056</v>
      </c>
      <c r="K19" s="4" t="s">
        <v>39</v>
      </c>
      <c r="L19" s="4"/>
    </row>
    <row r="20" spans="1:12" x14ac:dyDescent="0.3">
      <c r="A20" s="2" t="s">
        <v>24</v>
      </c>
      <c r="B20" s="22" t="s">
        <v>36</v>
      </c>
      <c r="C20" s="22" t="s">
        <v>30</v>
      </c>
      <c r="D20" s="19">
        <f t="shared" si="2"/>
        <v>1332</v>
      </c>
      <c r="E20" s="2" t="str">
        <f t="shared" si="1"/>
        <v>이하</v>
      </c>
      <c r="F20" s="2"/>
      <c r="G20" s="5">
        <v>46054</v>
      </c>
      <c r="H20" s="20">
        <v>1665</v>
      </c>
      <c r="I20" s="3">
        <v>-0.2</v>
      </c>
      <c r="J20" s="18">
        <v>46056</v>
      </c>
      <c r="K20" s="4" t="s">
        <v>39</v>
      </c>
      <c r="L20" s="4"/>
    </row>
    <row r="21" spans="1:12" x14ac:dyDescent="0.3">
      <c r="A21" s="2" t="s">
        <v>17</v>
      </c>
      <c r="B21" s="22" t="s">
        <v>36</v>
      </c>
      <c r="C21" s="22" t="s">
        <v>31</v>
      </c>
      <c r="D21" s="19">
        <f t="shared" si="2"/>
        <v>1415.25</v>
      </c>
      <c r="E21" s="2" t="str">
        <f t="shared" si="1"/>
        <v>이하</v>
      </c>
      <c r="F21" s="2"/>
      <c r="G21" s="5">
        <v>46054</v>
      </c>
      <c r="H21" s="20">
        <v>1665</v>
      </c>
      <c r="I21" s="3">
        <v>-0.15</v>
      </c>
      <c r="J21" s="18">
        <v>46056</v>
      </c>
      <c r="K21" s="4" t="s">
        <v>39</v>
      </c>
      <c r="L21" s="4"/>
    </row>
    <row r="22" spans="1:12" x14ac:dyDescent="0.3">
      <c r="A22" s="2" t="s">
        <v>24</v>
      </c>
      <c r="B22" s="22" t="s">
        <v>36</v>
      </c>
      <c r="C22" s="22" t="s">
        <v>32</v>
      </c>
      <c r="D22" s="19">
        <f t="shared" si="2"/>
        <v>1332</v>
      </c>
      <c r="E22" s="2" t="str">
        <f t="shared" si="1"/>
        <v>이하</v>
      </c>
      <c r="F22" s="2"/>
      <c r="G22" s="5">
        <v>46054</v>
      </c>
      <c r="H22" s="20">
        <v>1665</v>
      </c>
      <c r="I22" s="3">
        <v>-0.2</v>
      </c>
      <c r="J22" s="18">
        <v>46056</v>
      </c>
      <c r="K22" s="4" t="s">
        <v>39</v>
      </c>
      <c r="L22" s="4"/>
    </row>
    <row r="23" spans="1:12" x14ac:dyDescent="0.3">
      <c r="A23" s="2" t="s">
        <v>17</v>
      </c>
      <c r="B23" s="22" t="s">
        <v>36</v>
      </c>
      <c r="C23" s="22" t="s">
        <v>33</v>
      </c>
      <c r="D23" s="19">
        <f t="shared" si="2"/>
        <v>1415.25</v>
      </c>
      <c r="E23" s="2" t="str">
        <f t="shared" si="1"/>
        <v>이하</v>
      </c>
      <c r="F23" s="2"/>
      <c r="G23" s="5">
        <v>46054</v>
      </c>
      <c r="H23" s="20">
        <v>1665</v>
      </c>
      <c r="I23" s="3">
        <v>-0.15</v>
      </c>
      <c r="J23" s="18">
        <v>46056</v>
      </c>
      <c r="K23" s="4" t="s">
        <v>39</v>
      </c>
      <c r="L23" s="4"/>
    </row>
    <row r="24" spans="1:12" x14ac:dyDescent="0.3">
      <c r="A24" s="2" t="s">
        <v>24</v>
      </c>
      <c r="B24" s="22" t="s">
        <v>36</v>
      </c>
      <c r="C24" s="22" t="s">
        <v>34</v>
      </c>
      <c r="D24" s="19">
        <f t="shared" si="2"/>
        <v>1332</v>
      </c>
      <c r="E24" s="2" t="str">
        <f t="shared" si="1"/>
        <v>이하</v>
      </c>
      <c r="F24" s="2"/>
      <c r="G24" s="5">
        <v>46054</v>
      </c>
      <c r="H24" s="20">
        <v>1665</v>
      </c>
      <c r="I24" s="3">
        <v>-0.2</v>
      </c>
      <c r="J24" s="18">
        <v>46056</v>
      </c>
      <c r="K24" s="4" t="s">
        <v>39</v>
      </c>
      <c r="L24" s="4"/>
    </row>
    <row r="25" spans="1:12" x14ac:dyDescent="0.3">
      <c r="A25" s="2" t="s">
        <v>17</v>
      </c>
      <c r="B25" s="22" t="s">
        <v>37</v>
      </c>
      <c r="C25" s="22" t="s">
        <v>29</v>
      </c>
      <c r="D25" s="19">
        <f t="shared" ref="D25:D36" si="3">IF(ISERROR(H25*(1+I25)),H25&amp;","&amp;TEXT(I25*100, "0.0") &amp; "%",H25*(1+I25))</f>
        <v>129.19999999999999</v>
      </c>
      <c r="E25" s="2" t="str">
        <f t="shared" ref="E25:E36" si="4">IF(I25,(IF(I25&gt;0,"이상","이하")),"N/A")</f>
        <v>이하</v>
      </c>
      <c r="F25" s="2"/>
      <c r="G25" s="5">
        <v>46054</v>
      </c>
      <c r="H25" s="20">
        <v>152</v>
      </c>
      <c r="I25" s="3">
        <v>-0.15</v>
      </c>
      <c r="J25" s="18">
        <v>46056</v>
      </c>
      <c r="K25" s="4" t="s">
        <v>39</v>
      </c>
      <c r="L25" s="4"/>
    </row>
    <row r="26" spans="1:12" x14ac:dyDescent="0.3">
      <c r="A26" s="2" t="s">
        <v>24</v>
      </c>
      <c r="B26" s="22" t="s">
        <v>37</v>
      </c>
      <c r="C26" s="22" t="s">
        <v>30</v>
      </c>
      <c r="D26" s="19">
        <f t="shared" si="3"/>
        <v>121.60000000000001</v>
      </c>
      <c r="E26" s="2" t="str">
        <f t="shared" si="4"/>
        <v>이하</v>
      </c>
      <c r="F26" s="2"/>
      <c r="G26" s="5">
        <v>46054</v>
      </c>
      <c r="H26" s="20">
        <v>152</v>
      </c>
      <c r="I26" s="3">
        <v>-0.2</v>
      </c>
      <c r="J26" s="18">
        <v>46056</v>
      </c>
      <c r="K26" s="4" t="s">
        <v>39</v>
      </c>
      <c r="L26" s="4"/>
    </row>
    <row r="27" spans="1:12" x14ac:dyDescent="0.3">
      <c r="A27" s="2" t="s">
        <v>17</v>
      </c>
      <c r="B27" s="22" t="s">
        <v>37</v>
      </c>
      <c r="C27" s="22" t="s">
        <v>31</v>
      </c>
      <c r="D27" s="19">
        <f t="shared" si="3"/>
        <v>129.19999999999999</v>
      </c>
      <c r="E27" s="2" t="str">
        <f t="shared" si="4"/>
        <v>이하</v>
      </c>
      <c r="F27" s="2"/>
      <c r="G27" s="5">
        <v>46054</v>
      </c>
      <c r="H27" s="20">
        <v>152</v>
      </c>
      <c r="I27" s="3">
        <v>-0.15</v>
      </c>
      <c r="J27" s="18">
        <v>46056</v>
      </c>
      <c r="K27" s="4" t="s">
        <v>39</v>
      </c>
      <c r="L27" s="4"/>
    </row>
    <row r="28" spans="1:12" x14ac:dyDescent="0.3">
      <c r="A28" s="2" t="s">
        <v>24</v>
      </c>
      <c r="B28" s="22" t="s">
        <v>37</v>
      </c>
      <c r="C28" s="22" t="s">
        <v>32</v>
      </c>
      <c r="D28" s="19">
        <f t="shared" si="3"/>
        <v>121.60000000000001</v>
      </c>
      <c r="E28" s="2" t="str">
        <f t="shared" si="4"/>
        <v>이하</v>
      </c>
      <c r="F28" s="2"/>
      <c r="G28" s="5">
        <v>46054</v>
      </c>
      <c r="H28" s="20">
        <v>152</v>
      </c>
      <c r="I28" s="3">
        <v>-0.2</v>
      </c>
      <c r="J28" s="18">
        <v>46056</v>
      </c>
      <c r="K28" s="4" t="s">
        <v>39</v>
      </c>
      <c r="L28" s="4"/>
    </row>
    <row r="29" spans="1:12" x14ac:dyDescent="0.3">
      <c r="A29" s="2" t="s">
        <v>17</v>
      </c>
      <c r="B29" s="22" t="s">
        <v>37</v>
      </c>
      <c r="C29" s="22" t="s">
        <v>33</v>
      </c>
      <c r="D29" s="19">
        <f t="shared" si="3"/>
        <v>129.19999999999999</v>
      </c>
      <c r="E29" s="2" t="str">
        <f t="shared" si="4"/>
        <v>이하</v>
      </c>
      <c r="F29" s="2"/>
      <c r="G29" s="5">
        <v>46054</v>
      </c>
      <c r="H29" s="20">
        <v>152</v>
      </c>
      <c r="I29" s="3">
        <v>-0.15</v>
      </c>
      <c r="J29" s="18">
        <v>46056</v>
      </c>
      <c r="K29" s="4" t="s">
        <v>39</v>
      </c>
      <c r="L29" s="4"/>
    </row>
    <row r="30" spans="1:12" x14ac:dyDescent="0.3">
      <c r="A30" s="2" t="s">
        <v>24</v>
      </c>
      <c r="B30" s="22" t="s">
        <v>37</v>
      </c>
      <c r="C30" s="22" t="s">
        <v>34</v>
      </c>
      <c r="D30" s="19">
        <f t="shared" si="3"/>
        <v>121.60000000000001</v>
      </c>
      <c r="E30" s="2" t="str">
        <f t="shared" si="4"/>
        <v>이하</v>
      </c>
      <c r="F30" s="2"/>
      <c r="G30" s="5">
        <v>46054</v>
      </c>
      <c r="H30" s="20">
        <v>152</v>
      </c>
      <c r="I30" s="3">
        <v>-0.2</v>
      </c>
      <c r="J30" s="18">
        <v>46056</v>
      </c>
      <c r="K30" s="4" t="s">
        <v>39</v>
      </c>
      <c r="L30" s="4"/>
    </row>
    <row r="31" spans="1:12" x14ac:dyDescent="0.3">
      <c r="A31" s="2" t="s">
        <v>17</v>
      </c>
      <c r="B31" s="22" t="s">
        <v>38</v>
      </c>
      <c r="C31" s="22" t="s">
        <v>29</v>
      </c>
      <c r="D31" s="19">
        <f t="shared" si="3"/>
        <v>130560</v>
      </c>
      <c r="E31" s="2" t="str">
        <f t="shared" si="4"/>
        <v>이하</v>
      </c>
      <c r="F31" s="2"/>
      <c r="G31" s="5">
        <v>46054</v>
      </c>
      <c r="H31" s="20">
        <v>153600</v>
      </c>
      <c r="I31" s="3">
        <v>-0.15</v>
      </c>
      <c r="J31" s="18">
        <v>46056</v>
      </c>
      <c r="K31" s="4" t="s">
        <v>39</v>
      </c>
      <c r="L31" s="4"/>
    </row>
    <row r="32" spans="1:12" x14ac:dyDescent="0.3">
      <c r="A32" s="2" t="s">
        <v>24</v>
      </c>
      <c r="B32" s="22" t="s">
        <v>38</v>
      </c>
      <c r="C32" s="22" t="s">
        <v>30</v>
      </c>
      <c r="D32" s="19">
        <f t="shared" si="3"/>
        <v>122880</v>
      </c>
      <c r="E32" s="2" t="str">
        <f t="shared" si="4"/>
        <v>이하</v>
      </c>
      <c r="F32" s="2"/>
      <c r="G32" s="5">
        <v>46054</v>
      </c>
      <c r="H32" s="20">
        <v>153600</v>
      </c>
      <c r="I32" s="3">
        <v>-0.2</v>
      </c>
      <c r="J32" s="18">
        <v>46056</v>
      </c>
      <c r="K32" s="4" t="s">
        <v>39</v>
      </c>
      <c r="L32" s="4"/>
    </row>
    <row r="33" spans="1:12" x14ac:dyDescent="0.3">
      <c r="A33" s="2" t="s">
        <v>17</v>
      </c>
      <c r="B33" s="22" t="s">
        <v>38</v>
      </c>
      <c r="C33" s="22" t="s">
        <v>31</v>
      </c>
      <c r="D33" s="19">
        <f t="shared" si="3"/>
        <v>130560</v>
      </c>
      <c r="E33" s="2" t="str">
        <f t="shared" si="4"/>
        <v>이하</v>
      </c>
      <c r="F33" s="2"/>
      <c r="G33" s="5">
        <v>46054</v>
      </c>
      <c r="H33" s="20">
        <v>153600</v>
      </c>
      <c r="I33" s="3">
        <v>-0.15</v>
      </c>
      <c r="J33" s="18">
        <v>46056</v>
      </c>
      <c r="K33" s="4" t="s">
        <v>39</v>
      </c>
      <c r="L33" s="4"/>
    </row>
    <row r="34" spans="1:12" x14ac:dyDescent="0.3">
      <c r="A34" s="2" t="s">
        <v>24</v>
      </c>
      <c r="B34" s="22" t="s">
        <v>38</v>
      </c>
      <c r="C34" s="22" t="s">
        <v>32</v>
      </c>
      <c r="D34" s="19">
        <f t="shared" si="3"/>
        <v>122880</v>
      </c>
      <c r="E34" s="2" t="str">
        <f t="shared" si="4"/>
        <v>이하</v>
      </c>
      <c r="F34" s="2"/>
      <c r="G34" s="5">
        <v>46054</v>
      </c>
      <c r="H34" s="20">
        <v>153600</v>
      </c>
      <c r="I34" s="3">
        <v>-0.2</v>
      </c>
      <c r="J34" s="18">
        <v>46056</v>
      </c>
      <c r="K34" s="4" t="s">
        <v>39</v>
      </c>
      <c r="L34" s="4"/>
    </row>
    <row r="35" spans="1:12" x14ac:dyDescent="0.3">
      <c r="A35" s="2" t="s">
        <v>17</v>
      </c>
      <c r="B35" s="22" t="s">
        <v>38</v>
      </c>
      <c r="C35" s="22" t="s">
        <v>33</v>
      </c>
      <c r="D35" s="19">
        <f t="shared" si="3"/>
        <v>130560</v>
      </c>
      <c r="E35" s="2" t="str">
        <f t="shared" si="4"/>
        <v>이하</v>
      </c>
      <c r="F35" s="2"/>
      <c r="G35" s="5">
        <v>46054</v>
      </c>
      <c r="H35" s="20">
        <v>153600</v>
      </c>
      <c r="I35" s="3">
        <v>-0.15</v>
      </c>
      <c r="J35" s="18">
        <v>46056</v>
      </c>
      <c r="K35" s="4" t="s">
        <v>39</v>
      </c>
      <c r="L35" s="4"/>
    </row>
    <row r="36" spans="1:12" x14ac:dyDescent="0.3">
      <c r="A36" s="2" t="s">
        <v>24</v>
      </c>
      <c r="B36" s="22" t="s">
        <v>38</v>
      </c>
      <c r="C36" s="22" t="s">
        <v>34</v>
      </c>
      <c r="D36" s="19">
        <f t="shared" si="3"/>
        <v>122880</v>
      </c>
      <c r="E36" s="2" t="str">
        <f t="shared" si="4"/>
        <v>이하</v>
      </c>
      <c r="F36" s="2"/>
      <c r="G36" s="5">
        <v>46054</v>
      </c>
      <c r="H36" s="20">
        <v>153600</v>
      </c>
      <c r="I36" s="3">
        <v>-0.2</v>
      </c>
      <c r="J36" s="18">
        <v>46056</v>
      </c>
      <c r="K36" s="4" t="s">
        <v>39</v>
      </c>
      <c r="L36" s="4"/>
    </row>
    <row r="37" spans="1:12" x14ac:dyDescent="0.3">
      <c r="B37" s="6" t="s">
        <v>27</v>
      </c>
      <c r="C37" t="str">
        <f t="shared" ref="C37:C38" si="5">"Env2 - "&amp;H37&amp;" "&amp;TEXT(I37*100, "0")&amp;"%"</f>
        <v>Env2 - 20일선 -15%</v>
      </c>
      <c r="D37" s="19" t="str">
        <f t="shared" ref="D37:D38" si="6">IF(ISERROR(H37*(1+I37)),H37&amp;","&amp;TEXT(I37*100, "0.0") &amp; "%",H37*(1+I37))</f>
        <v>20일선,-15.0%</v>
      </c>
      <c r="E37" s="2" t="str">
        <f t="shared" ref="E37:E38" si="7">IF(I37,(IF(I37&gt;0,"이상","이하")),"N/A")</f>
        <v>이하</v>
      </c>
      <c r="F37" s="2"/>
      <c r="G37" s="5"/>
      <c r="H37" s="20" t="s">
        <v>23</v>
      </c>
      <c r="I37" s="3">
        <v>-0.15</v>
      </c>
      <c r="J37" s="18"/>
      <c r="K37" s="4" t="s">
        <v>39</v>
      </c>
      <c r="L37" s="4"/>
    </row>
    <row r="38" spans="1:12" x14ac:dyDescent="0.3">
      <c r="B38" s="6"/>
      <c r="C38" t="str">
        <f t="shared" si="5"/>
        <v>Env2 - 20일선 -20%</v>
      </c>
      <c r="D38" s="19" t="str">
        <f t="shared" si="6"/>
        <v>20일선,-20.0%</v>
      </c>
      <c r="E38" s="2" t="str">
        <f t="shared" si="7"/>
        <v>이하</v>
      </c>
      <c r="F38" s="2"/>
      <c r="G38" s="5"/>
      <c r="H38" s="20" t="s">
        <v>23</v>
      </c>
      <c r="I38" s="3">
        <v>-0.2</v>
      </c>
      <c r="J38" s="18"/>
      <c r="K38" s="4" t="s">
        <v>39</v>
      </c>
      <c r="L38" s="4"/>
    </row>
    <row r="39" spans="1:12" x14ac:dyDescent="0.3">
      <c r="B39" s="21" t="s">
        <v>26</v>
      </c>
      <c r="C39" t="str">
        <f>"Env2 - 매수 2차 ("&amp;TEXT(I39,"0%")&amp;")"</f>
        <v>Env2 - 매수 2차 (-10%)</v>
      </c>
      <c r="D39" s="19">
        <f t="shared" ref="D39:D44" si="8">IF(ISERROR(H39*(1+I39)),H39&amp;","&amp;TEXT(I39*100, "0.0") &amp; "%",H39*(1+I39))</f>
        <v>0</v>
      </c>
      <c r="E39" s="2" t="str">
        <f t="shared" ref="E39:E44" si="9">IF(I39,(IF(I39&gt;0,"이상","이하")),"N/A")</f>
        <v>이하</v>
      </c>
      <c r="F39" s="2"/>
      <c r="G39" s="5"/>
      <c r="H39" s="20">
        <v>0</v>
      </c>
      <c r="I39" s="3">
        <v>-0.1</v>
      </c>
      <c r="J39" s="18"/>
      <c r="K39" s="4" t="s">
        <v>39</v>
      </c>
      <c r="L39" s="4"/>
    </row>
    <row r="40" spans="1:12" x14ac:dyDescent="0.3">
      <c r="B40" s="21"/>
      <c r="C40" t="str">
        <f>"Env2 - 매수 3차 ("&amp;TEXT(I40,"0%")&amp;")"</f>
        <v>Env2 - 매수 3차 (-20%)</v>
      </c>
      <c r="D40" s="19">
        <f t="shared" si="8"/>
        <v>0</v>
      </c>
      <c r="E40" s="2" t="str">
        <f t="shared" si="9"/>
        <v>이하</v>
      </c>
      <c r="F40" s="2"/>
      <c r="G40" s="5"/>
      <c r="H40" s="20">
        <v>0</v>
      </c>
      <c r="I40" s="3">
        <v>-0.2</v>
      </c>
      <c r="J40" s="18"/>
      <c r="K40" s="4" t="s">
        <v>39</v>
      </c>
      <c r="L40" s="4"/>
    </row>
    <row r="41" spans="1:12" x14ac:dyDescent="0.3">
      <c r="B41" s="21"/>
      <c r="C41" t="str">
        <f>"Env2 - 매도 1차 ("&amp;TEXT(I41,"0%")&amp;")"</f>
        <v>Env2 - 매도 1차 (3%)</v>
      </c>
      <c r="D41" s="19">
        <f t="shared" si="8"/>
        <v>0</v>
      </c>
      <c r="E41" s="2" t="str">
        <f t="shared" si="9"/>
        <v>이상</v>
      </c>
      <c r="F41" s="2"/>
      <c r="G41" s="5"/>
      <c r="H41" s="20">
        <v>0</v>
      </c>
      <c r="I41" s="3">
        <v>0.03</v>
      </c>
      <c r="J41" s="18"/>
      <c r="K41" s="4" t="s">
        <v>39</v>
      </c>
      <c r="L41" s="4"/>
    </row>
    <row r="42" spans="1:12" x14ac:dyDescent="0.3">
      <c r="B42" s="21"/>
      <c r="C42" t="str">
        <f>"Env2 - 매도 2차 ("&amp;TEXT(I42,"0%")&amp;")"</f>
        <v>Env2 - 매도 2차 (5%)</v>
      </c>
      <c r="D42" s="19">
        <f t="shared" si="8"/>
        <v>0</v>
      </c>
      <c r="E42" s="2" t="str">
        <f t="shared" si="9"/>
        <v>이상</v>
      </c>
      <c r="F42" s="2"/>
      <c r="G42" s="5"/>
      <c r="H42" s="20">
        <v>0</v>
      </c>
      <c r="I42" s="3">
        <v>0.05</v>
      </c>
      <c r="J42" s="18"/>
      <c r="K42" s="4" t="s">
        <v>39</v>
      </c>
      <c r="L42" s="4"/>
    </row>
    <row r="43" spans="1:12" x14ac:dyDescent="0.3">
      <c r="B43" s="21"/>
      <c r="C43" t="str">
        <f>"Env2 - 매도 3차 ("&amp;TEXT(I43,"0%")&amp;")"</f>
        <v>Env2 - 매도 3차 (7%)</v>
      </c>
      <c r="D43" s="19">
        <f t="shared" si="8"/>
        <v>0</v>
      </c>
      <c r="E43" s="2" t="str">
        <f t="shared" si="9"/>
        <v>이상</v>
      </c>
      <c r="F43" s="2"/>
      <c r="G43" s="5"/>
      <c r="H43" s="20">
        <v>0</v>
      </c>
      <c r="I43" s="3">
        <v>7.0000000000000007E-2</v>
      </c>
      <c r="J43" s="18"/>
      <c r="K43" s="4" t="s">
        <v>39</v>
      </c>
      <c r="L43" s="4"/>
    </row>
    <row r="44" spans="1:12" x14ac:dyDescent="0.3">
      <c r="B44" s="21"/>
      <c r="C44" t="str">
        <f>"Env2 - "&amp;H44&amp;" "&amp;TEXT(I44*100, "0.0")&amp;"%"</f>
        <v>Env2 - 20일선 0.1%</v>
      </c>
      <c r="D44" s="19" t="str">
        <f t="shared" si="8"/>
        <v>20일선,0.1%</v>
      </c>
      <c r="E44" s="2" t="str">
        <f t="shared" si="9"/>
        <v>이상</v>
      </c>
      <c r="F44" s="2"/>
      <c r="G44" s="5"/>
      <c r="H44" s="20" t="s">
        <v>23</v>
      </c>
      <c r="I44" s="3">
        <v>1E-3</v>
      </c>
      <c r="J44" s="18"/>
      <c r="K44" s="4" t="s">
        <v>39</v>
      </c>
      <c r="L44" s="4"/>
    </row>
    <row r="45" spans="1:12" x14ac:dyDescent="0.3">
      <c r="B45" s="21"/>
      <c r="C45" t="str">
        <f>"Env2 - 본절 ("&amp;TEXT(I45,"0%")&amp;")"</f>
        <v>Env2 - 본절 (0%)</v>
      </c>
      <c r="D45" s="19">
        <f>IF(ISERROR(H45*(1+I45)),H45&amp;","&amp;TEXT(I45*100, "0.0") &amp; "%",H45*(1+I45))</f>
        <v>0</v>
      </c>
      <c r="E45" s="2" t="str">
        <f>IF(I45,(IF(I45&gt;0,"이상","이하")),"N/A")</f>
        <v>이하</v>
      </c>
      <c r="F45" s="2"/>
      <c r="G45" s="5"/>
      <c r="H45" s="20">
        <v>0</v>
      </c>
      <c r="I45" s="3">
        <v>-1E-3</v>
      </c>
      <c r="J45" s="18"/>
      <c r="K45" s="4" t="s">
        <v>39</v>
      </c>
      <c r="L45" s="4"/>
    </row>
    <row r="46" spans="1:12" x14ac:dyDescent="0.3">
      <c r="D46" s="15"/>
      <c r="E46" s="2"/>
      <c r="F46" s="2"/>
      <c r="G46" s="4"/>
      <c r="H46" s="1"/>
      <c r="I46" s="3"/>
      <c r="J46" s="4"/>
      <c r="K46" s="4"/>
      <c r="L46" s="4"/>
    </row>
    <row r="47" spans="1:12" x14ac:dyDescent="0.3">
      <c r="D47" s="15"/>
      <c r="E47" s="2"/>
      <c r="F47" s="2"/>
      <c r="G47" s="4"/>
      <c r="H47" s="1"/>
      <c r="I47" s="3"/>
      <c r="J47" s="4"/>
      <c r="K47" s="4"/>
      <c r="L47" s="4"/>
    </row>
    <row r="48" spans="1:12" x14ac:dyDescent="0.3">
      <c r="D48" s="15"/>
      <c r="E48" s="2"/>
      <c r="F48" s="2"/>
      <c r="G48" s="4"/>
      <c r="H48" s="1"/>
      <c r="I48" s="3"/>
      <c r="J48" s="4"/>
      <c r="K48" s="4"/>
      <c r="L48" s="4"/>
    </row>
    <row r="49" spans="4:12" x14ac:dyDescent="0.3">
      <c r="D49" s="15"/>
      <c r="E49" s="2"/>
      <c r="F49" s="2"/>
      <c r="G49" s="4"/>
      <c r="H49" s="1"/>
      <c r="I49" s="3"/>
      <c r="J49" s="4"/>
      <c r="K49" s="4"/>
      <c r="L49" s="4"/>
    </row>
    <row r="50" spans="4:12" x14ac:dyDescent="0.3">
      <c r="D50" s="15"/>
      <c r="E50" s="2"/>
      <c r="F50" s="2"/>
      <c r="G50" s="4"/>
      <c r="H50" s="1"/>
      <c r="I50" s="3"/>
      <c r="J50" s="4"/>
      <c r="K50" s="4"/>
      <c r="L50" s="4"/>
    </row>
    <row r="51" spans="4:12" x14ac:dyDescent="0.3">
      <c r="D51" s="15"/>
      <c r="E51" s="2"/>
      <c r="F51" s="2"/>
      <c r="G51" s="4"/>
      <c r="H51" s="1"/>
      <c r="I51" s="3"/>
      <c r="J51" s="4"/>
      <c r="K51" s="4"/>
      <c r="L51" s="4"/>
    </row>
    <row r="52" spans="4:12" x14ac:dyDescent="0.3">
      <c r="D52" s="15"/>
      <c r="E52" s="2"/>
      <c r="F52" s="2"/>
      <c r="G52" s="4"/>
      <c r="H52" s="1"/>
      <c r="I52" s="3"/>
      <c r="J52" s="4"/>
      <c r="K52" s="4"/>
      <c r="L52" s="4"/>
    </row>
    <row r="53" spans="4:12" x14ac:dyDescent="0.3">
      <c r="D53" s="15"/>
      <c r="E53" s="2"/>
      <c r="F53" s="2"/>
      <c r="G53" s="4"/>
      <c r="H53" s="1"/>
      <c r="I53" s="3"/>
      <c r="J53" s="4"/>
      <c r="K53" s="4"/>
      <c r="L53" s="4"/>
    </row>
    <row r="54" spans="4:12" x14ac:dyDescent="0.3">
      <c r="D54" s="15"/>
      <c r="E54" s="2"/>
      <c r="F54" s="2"/>
      <c r="G54" s="4"/>
      <c r="H54" s="1"/>
      <c r="I54" s="3"/>
      <c r="J54" s="4"/>
      <c r="K54" s="4"/>
      <c r="L54" s="4"/>
    </row>
    <row r="55" spans="4:12" x14ac:dyDescent="0.3">
      <c r="D55" s="15"/>
      <c r="E55" s="2"/>
      <c r="F55" s="2"/>
      <c r="G55" s="4"/>
      <c r="H55" s="1"/>
      <c r="I55" s="3"/>
      <c r="J55" s="4"/>
      <c r="K55" s="4"/>
      <c r="L55" s="4"/>
    </row>
    <row r="56" spans="4:12" x14ac:dyDescent="0.3">
      <c r="D56" s="15"/>
      <c r="E56" s="2"/>
      <c r="F56" s="2"/>
      <c r="G56" s="4"/>
      <c r="H56" s="1"/>
      <c r="I56" s="3"/>
      <c r="J56" s="4"/>
      <c r="K56" s="4"/>
      <c r="L56" s="4"/>
    </row>
    <row r="57" spans="4:12" x14ac:dyDescent="0.3">
      <c r="D57" s="15"/>
      <c r="E57" s="2"/>
      <c r="F57" s="2"/>
      <c r="G57" s="4"/>
      <c r="H57" s="1"/>
      <c r="I57" s="3"/>
      <c r="J57" s="4"/>
      <c r="K57" s="4"/>
      <c r="L57" s="4"/>
    </row>
    <row r="58" spans="4:12" x14ac:dyDescent="0.3">
      <c r="D58" s="15"/>
      <c r="E58" s="2"/>
      <c r="F58" s="2"/>
      <c r="G58" s="4"/>
      <c r="H58" s="1"/>
      <c r="I58" s="3"/>
      <c r="J58" s="4"/>
      <c r="K58" s="4"/>
      <c r="L58" s="4"/>
    </row>
    <row r="59" spans="4:12" x14ac:dyDescent="0.3">
      <c r="D59" s="15"/>
      <c r="E59" s="2"/>
      <c r="F59" s="2"/>
      <c r="G59" s="4"/>
      <c r="H59" s="1"/>
      <c r="I59" s="3"/>
      <c r="J59" s="4"/>
      <c r="K59" s="4"/>
      <c r="L59" s="4"/>
    </row>
    <row r="60" spans="4:12" x14ac:dyDescent="0.3">
      <c r="D60" s="15"/>
      <c r="E60" s="2"/>
      <c r="F60" s="2"/>
      <c r="G60" s="4"/>
      <c r="H60" s="1"/>
      <c r="I60" s="3"/>
      <c r="J60" s="4"/>
      <c r="K60" s="4"/>
      <c r="L60" s="4"/>
    </row>
    <row r="61" spans="4:12" x14ac:dyDescent="0.3">
      <c r="D61" s="15"/>
      <c r="E61" s="2"/>
      <c r="F61" s="2"/>
      <c r="G61" s="4"/>
      <c r="H61" s="1"/>
      <c r="I61" s="3"/>
      <c r="J61" s="4"/>
      <c r="K61" s="4"/>
      <c r="L61" s="4"/>
    </row>
    <row r="62" spans="4:12" x14ac:dyDescent="0.3">
      <c r="D62" s="15"/>
      <c r="E62" s="2"/>
      <c r="F62" s="2"/>
      <c r="G62" s="4"/>
      <c r="H62" s="1"/>
      <c r="I62" s="3"/>
      <c r="J62" s="4"/>
      <c r="K62" s="4"/>
      <c r="L62" s="4"/>
    </row>
    <row r="63" spans="4:12" x14ac:dyDescent="0.3">
      <c r="D63" s="15"/>
      <c r="E63" s="2"/>
      <c r="F63" s="2"/>
      <c r="G63" s="4"/>
      <c r="H63" s="1"/>
      <c r="I63" s="3"/>
      <c r="J63" s="4"/>
      <c r="K63" s="4"/>
      <c r="L63" s="4"/>
    </row>
    <row r="64" spans="4:12" x14ac:dyDescent="0.3">
      <c r="D64" s="15"/>
      <c r="E64" s="2"/>
      <c r="F64" s="2"/>
      <c r="G64" s="4"/>
      <c r="H64" s="1"/>
      <c r="I64" s="3"/>
      <c r="J64" s="4"/>
      <c r="K64" s="4"/>
      <c r="L64" s="4"/>
    </row>
    <row r="65" spans="4:12" x14ac:dyDescent="0.3">
      <c r="D65" s="15"/>
      <c r="E65" s="2"/>
      <c r="F65" s="2"/>
      <c r="G65" s="4"/>
      <c r="H65" s="1"/>
      <c r="I65" s="3"/>
      <c r="J65" s="4"/>
      <c r="K65" s="4"/>
      <c r="L65" s="4"/>
    </row>
    <row r="66" spans="4:12" x14ac:dyDescent="0.3">
      <c r="D66" s="15"/>
      <c r="E66" s="2"/>
      <c r="F66" s="2"/>
      <c r="G66" s="4"/>
      <c r="H66" s="1"/>
      <c r="I66" s="3"/>
      <c r="J66" s="4"/>
      <c r="K66" s="4"/>
      <c r="L66" s="4"/>
    </row>
    <row r="67" spans="4:12" x14ac:dyDescent="0.3">
      <c r="D67" s="15"/>
      <c r="E67" s="2"/>
      <c r="F67" s="2"/>
      <c r="G67" s="4"/>
      <c r="H67" s="1"/>
      <c r="I67" s="3"/>
      <c r="J67" s="4"/>
      <c r="K67" s="4"/>
      <c r="L67" s="4"/>
    </row>
    <row r="68" spans="4:12" x14ac:dyDescent="0.3">
      <c r="D68" s="15"/>
      <c r="E68" s="2"/>
      <c r="F68" s="2"/>
      <c r="G68" s="4"/>
      <c r="H68" s="1"/>
      <c r="I68" s="3"/>
      <c r="J68" s="4"/>
      <c r="K68" s="4"/>
      <c r="L68" s="4"/>
    </row>
    <row r="69" spans="4:12" x14ac:dyDescent="0.3">
      <c r="D69" s="15"/>
      <c r="E69" s="2"/>
      <c r="F69" s="2"/>
      <c r="G69" s="4"/>
      <c r="H69" s="1"/>
      <c r="I69" s="3"/>
      <c r="J69" s="4"/>
      <c r="K69" s="4"/>
      <c r="L69" s="4"/>
    </row>
    <row r="70" spans="4:12" x14ac:dyDescent="0.3">
      <c r="D70" s="15"/>
      <c r="E70" s="2"/>
      <c r="F70" s="2"/>
      <c r="G70" s="4"/>
      <c r="H70" s="1"/>
      <c r="I70" s="3"/>
      <c r="J70" s="4"/>
      <c r="K70" s="4"/>
      <c r="L70" s="4"/>
    </row>
    <row r="71" spans="4:12" x14ac:dyDescent="0.3">
      <c r="D71" s="15"/>
      <c r="E71" s="2"/>
      <c r="F71" s="2"/>
      <c r="G71" s="4"/>
      <c r="H71" s="1"/>
      <c r="I71" s="3"/>
      <c r="J71" s="4"/>
      <c r="K71" s="4"/>
      <c r="L71" s="4"/>
    </row>
    <row r="72" spans="4:12" x14ac:dyDescent="0.3">
      <c r="D72" s="15"/>
      <c r="E72" s="2"/>
      <c r="F72" s="2"/>
      <c r="G72" s="4"/>
      <c r="H72" s="1"/>
      <c r="I72" s="3"/>
      <c r="J72" s="4"/>
      <c r="K72" s="4"/>
      <c r="L72" s="4"/>
    </row>
    <row r="73" spans="4:12" x14ac:dyDescent="0.3">
      <c r="D73" s="15"/>
      <c r="E73" s="2"/>
      <c r="F73" s="2"/>
      <c r="G73" s="4"/>
      <c r="H73" s="1"/>
      <c r="I73" s="3"/>
      <c r="J73" s="4"/>
      <c r="K73" s="4"/>
      <c r="L73" s="4"/>
    </row>
    <row r="74" spans="4:12" x14ac:dyDescent="0.3">
      <c r="D74" s="15"/>
      <c r="E74" s="2"/>
      <c r="F74" s="2"/>
      <c r="G74" s="4"/>
      <c r="H74" s="1"/>
      <c r="I74" s="3"/>
      <c r="J74" s="4"/>
      <c r="K74" s="4"/>
      <c r="L74" s="4"/>
    </row>
    <row r="75" spans="4:12" x14ac:dyDescent="0.3">
      <c r="D75" s="15"/>
      <c r="E75" s="2"/>
      <c r="F75" s="2"/>
      <c r="G75" s="4"/>
      <c r="H75" s="1"/>
      <c r="I75" s="3"/>
      <c r="J75" s="4"/>
      <c r="K75" s="4"/>
      <c r="L75" s="4"/>
    </row>
    <row r="76" spans="4:12" x14ac:dyDescent="0.3">
      <c r="D76" s="15"/>
      <c r="E76" s="2"/>
      <c r="F76" s="2"/>
      <c r="G76" s="4"/>
      <c r="H76" s="1"/>
      <c r="I76" s="3"/>
      <c r="J76" s="4"/>
      <c r="K76" s="4"/>
      <c r="L76" s="4"/>
    </row>
    <row r="77" spans="4:12" x14ac:dyDescent="0.3">
      <c r="D77" s="15"/>
      <c r="E77" s="2"/>
      <c r="F77" s="2"/>
      <c r="G77" s="4"/>
      <c r="H77" s="1"/>
      <c r="I77" s="3"/>
      <c r="J77" s="4"/>
      <c r="K77" s="4"/>
      <c r="L77" s="4"/>
    </row>
    <row r="78" spans="4:12" x14ac:dyDescent="0.3">
      <c r="D78" s="15"/>
      <c r="E78" s="2"/>
      <c r="F78" s="2"/>
      <c r="G78" s="4"/>
      <c r="H78" s="1"/>
      <c r="I78" s="3"/>
      <c r="J78" s="4"/>
      <c r="K78" s="4"/>
      <c r="L78" s="4"/>
    </row>
    <row r="79" spans="4:12" x14ac:dyDescent="0.3">
      <c r="D79" s="15"/>
      <c r="E79" s="2"/>
      <c r="F79" s="2"/>
      <c r="G79" s="4"/>
      <c r="H79" s="1"/>
      <c r="I79" s="3"/>
      <c r="J79" s="4"/>
      <c r="K79" s="4"/>
      <c r="L79" s="4"/>
    </row>
    <row r="80" spans="4:12" x14ac:dyDescent="0.3">
      <c r="D80" s="15"/>
      <c r="E80" s="2"/>
      <c r="F80" s="2"/>
      <c r="G80" s="4"/>
      <c r="H80" s="1"/>
      <c r="I80" s="3"/>
      <c r="J80" s="4"/>
      <c r="K80" s="4"/>
      <c r="L80" s="4"/>
    </row>
    <row r="81" spans="4:12" x14ac:dyDescent="0.3">
      <c r="D81" s="15"/>
      <c r="E81" s="2"/>
      <c r="F81" s="2"/>
      <c r="G81" s="4"/>
      <c r="H81" s="1"/>
      <c r="I81" s="3"/>
      <c r="J81" s="4"/>
      <c r="K81" s="4"/>
      <c r="L81" s="4"/>
    </row>
    <row r="82" spans="4:12" x14ac:dyDescent="0.3">
      <c r="D82" s="15"/>
      <c r="E82" s="2"/>
      <c r="F82" s="2"/>
      <c r="G82" s="4"/>
      <c r="H82" s="1"/>
      <c r="I82" s="3"/>
      <c r="J82" s="4"/>
      <c r="K82" s="4"/>
      <c r="L82" s="4"/>
    </row>
    <row r="83" spans="4:12" x14ac:dyDescent="0.3">
      <c r="D83" s="15"/>
      <c r="E83" s="2"/>
      <c r="F83" s="2"/>
      <c r="G83" s="4"/>
      <c r="H83" s="1"/>
      <c r="I83" s="3"/>
      <c r="J83" s="4"/>
      <c r="K83" s="4"/>
      <c r="L83" s="4"/>
    </row>
    <row r="84" spans="4:12" x14ac:dyDescent="0.3">
      <c r="D84" s="15"/>
      <c r="E84" s="2"/>
      <c r="F84" s="2"/>
      <c r="G84" s="4"/>
      <c r="H84" s="1"/>
      <c r="I84" s="3"/>
      <c r="J84" s="4"/>
      <c r="K84" s="4"/>
      <c r="L84" s="4"/>
    </row>
    <row r="85" spans="4:12" x14ac:dyDescent="0.3">
      <c r="D85" s="15"/>
      <c r="E85" s="2"/>
      <c r="F85" s="2"/>
      <c r="G85" s="4"/>
      <c r="H85" s="1"/>
      <c r="I85" s="3"/>
      <c r="J85" s="4"/>
      <c r="K85" s="4"/>
      <c r="L85" s="4"/>
    </row>
    <row r="86" spans="4:12" x14ac:dyDescent="0.3">
      <c r="D86" s="15"/>
      <c r="E86" s="2"/>
      <c r="F86" s="2"/>
      <c r="G86" s="4"/>
      <c r="H86" s="1"/>
      <c r="I86" s="3"/>
      <c r="J86" s="4"/>
      <c r="K86" s="4"/>
      <c r="L86" s="4"/>
    </row>
    <row r="87" spans="4:12" x14ac:dyDescent="0.3">
      <c r="D87" s="15"/>
      <c r="E87" s="2"/>
      <c r="F87" s="2"/>
      <c r="G87" s="4"/>
      <c r="H87" s="1"/>
      <c r="I87" s="3"/>
      <c r="J87" s="4"/>
      <c r="K87" s="4"/>
      <c r="L87" s="4"/>
    </row>
    <row r="88" spans="4:12" x14ac:dyDescent="0.3">
      <c r="D88" s="15"/>
      <c r="E88" s="2"/>
      <c r="F88" s="2"/>
      <c r="G88" s="4"/>
      <c r="H88" s="1"/>
      <c r="I88" s="3"/>
      <c r="J88" s="4"/>
      <c r="K88" s="4"/>
      <c r="L88" s="4"/>
    </row>
    <row r="89" spans="4:12" x14ac:dyDescent="0.3">
      <c r="D89" s="15"/>
      <c r="E89" s="2"/>
      <c r="F89" s="2"/>
      <c r="G89" s="4"/>
      <c r="H89" s="1"/>
      <c r="I89" s="3"/>
      <c r="J89" s="4"/>
      <c r="K89" s="4"/>
      <c r="L89" s="4"/>
    </row>
    <row r="90" spans="4:12" x14ac:dyDescent="0.3">
      <c r="D90" s="15"/>
      <c r="E90" s="2"/>
      <c r="F90" s="2"/>
      <c r="G90" s="4"/>
      <c r="H90" s="1"/>
      <c r="I90" s="3"/>
      <c r="J90" s="4"/>
      <c r="K90" s="4"/>
      <c r="L90" s="4"/>
    </row>
    <row r="91" spans="4:12" x14ac:dyDescent="0.3">
      <c r="D91" s="15"/>
      <c r="E91" s="2"/>
      <c r="F91" s="2"/>
      <c r="G91" s="4"/>
      <c r="H91" s="1"/>
      <c r="I91" s="3"/>
      <c r="J91" s="4"/>
      <c r="K91" s="4"/>
      <c r="L91" s="4"/>
    </row>
    <row r="92" spans="4:12" x14ac:dyDescent="0.3">
      <c r="D92" s="15"/>
      <c r="E92" s="2"/>
      <c r="F92" s="2"/>
      <c r="G92" s="4"/>
      <c r="H92" s="1"/>
      <c r="I92" s="3"/>
      <c r="J92" s="4"/>
      <c r="K92" s="4"/>
      <c r="L92" s="4"/>
    </row>
    <row r="93" spans="4:12" x14ac:dyDescent="0.3">
      <c r="D93" s="15"/>
      <c r="E93" s="2"/>
      <c r="F93" s="2"/>
      <c r="G93" s="4"/>
      <c r="H93" s="1"/>
      <c r="I93" s="3"/>
      <c r="J93" s="4"/>
      <c r="K93" s="4"/>
      <c r="L93" s="4"/>
    </row>
    <row r="94" spans="4:12" x14ac:dyDescent="0.3">
      <c r="D94" s="15"/>
      <c r="E94" s="2"/>
      <c r="F94" s="2"/>
      <c r="G94" s="4"/>
      <c r="H94" s="1"/>
      <c r="I94" s="3"/>
      <c r="J94" s="4"/>
      <c r="K94" s="4"/>
      <c r="L94" s="4"/>
    </row>
    <row r="95" spans="4:12" x14ac:dyDescent="0.3">
      <c r="D95" s="15"/>
      <c r="E95" s="2"/>
      <c r="F95" s="2"/>
      <c r="G95" s="4"/>
      <c r="H95" s="1"/>
      <c r="I95" s="3"/>
      <c r="J95" s="4"/>
      <c r="K95" s="4"/>
      <c r="L95" s="4"/>
    </row>
    <row r="96" spans="4:12" x14ac:dyDescent="0.3">
      <c r="D96" s="15"/>
      <c r="E96" s="2"/>
      <c r="F96" s="2"/>
      <c r="G96" s="4"/>
      <c r="H96" s="1"/>
      <c r="I96" s="3"/>
      <c r="J96" s="4"/>
      <c r="K96" s="4"/>
      <c r="L96" s="4"/>
    </row>
    <row r="97" spans="4:12" x14ac:dyDescent="0.3">
      <c r="D97" s="15"/>
      <c r="E97" s="2"/>
      <c r="F97" s="2"/>
      <c r="G97" s="4"/>
      <c r="H97" s="1"/>
      <c r="I97" s="3"/>
      <c r="J97" s="4"/>
      <c r="K97" s="4"/>
      <c r="L97" s="4"/>
    </row>
    <row r="98" spans="4:12" x14ac:dyDescent="0.3">
      <c r="D98" s="15"/>
      <c r="E98" s="2"/>
      <c r="F98" s="2"/>
      <c r="G98" s="4"/>
      <c r="H98" s="1"/>
      <c r="I98" s="3"/>
      <c r="J98" s="4"/>
      <c r="K98" s="4"/>
      <c r="L98" s="4"/>
    </row>
    <row r="99" spans="4:12" x14ac:dyDescent="0.3">
      <c r="D99" s="15"/>
      <c r="E99" s="2"/>
      <c r="F99" s="2"/>
      <c r="G99" s="4"/>
      <c r="H99" s="1"/>
      <c r="I99" s="3"/>
      <c r="J99" s="4"/>
      <c r="K99" s="4"/>
      <c r="L99" s="4"/>
    </row>
    <row r="100" spans="4:12" x14ac:dyDescent="0.3">
      <c r="D100" s="15"/>
      <c r="E100" s="2"/>
      <c r="F100" s="2"/>
      <c r="G100" s="4"/>
      <c r="H100" s="1"/>
      <c r="I100" s="3"/>
      <c r="J100" s="4"/>
      <c r="K100" s="4"/>
      <c r="L100" s="4"/>
    </row>
    <row r="101" spans="4:12" x14ac:dyDescent="0.3">
      <c r="D101" s="15"/>
      <c r="E101" s="2"/>
      <c r="F101" s="2"/>
      <c r="G101" s="4"/>
      <c r="H101" s="1"/>
      <c r="I101" s="3"/>
      <c r="J101" s="4"/>
      <c r="K101" s="4"/>
      <c r="L101" s="4"/>
    </row>
    <row r="102" spans="4:12" x14ac:dyDescent="0.3">
      <c r="D102" s="15"/>
      <c r="E102" s="2"/>
      <c r="F102" s="2"/>
      <c r="G102" s="4"/>
      <c r="H102" s="1"/>
      <c r="I102" s="3"/>
      <c r="J102" s="4"/>
      <c r="K102" s="4"/>
      <c r="L102" s="4"/>
    </row>
    <row r="103" spans="4:12" x14ac:dyDescent="0.3">
      <c r="D103" s="15"/>
      <c r="E103" s="2"/>
      <c r="F103" s="2"/>
      <c r="G103" s="4"/>
      <c r="H103" s="1"/>
      <c r="I103" s="3"/>
      <c r="J103" s="4"/>
      <c r="K103" s="4"/>
      <c r="L103" s="4"/>
    </row>
    <row r="104" spans="4:12" x14ac:dyDescent="0.3">
      <c r="D104" s="15"/>
      <c r="E104" s="2"/>
      <c r="F104" s="2"/>
      <c r="G104" s="4"/>
      <c r="H104" s="1"/>
      <c r="I104" s="3"/>
      <c r="J104" s="4"/>
      <c r="K104" s="4"/>
      <c r="L104" s="4"/>
    </row>
    <row r="105" spans="4:12" x14ac:dyDescent="0.3">
      <c r="D105" s="15"/>
      <c r="E105" s="2"/>
      <c r="F105" s="2"/>
      <c r="G105" s="4"/>
      <c r="H105" s="1"/>
      <c r="I105" s="3"/>
      <c r="J105" s="4"/>
      <c r="K105" s="4"/>
      <c r="L105" s="4"/>
    </row>
    <row r="106" spans="4:12" x14ac:dyDescent="0.3">
      <c r="D106" s="15"/>
      <c r="E106" s="2"/>
      <c r="F106" s="2"/>
      <c r="G106" s="4"/>
      <c r="H106" s="1"/>
      <c r="I106" s="3"/>
      <c r="J106" s="4"/>
      <c r="K106" s="4"/>
      <c r="L106" s="4"/>
    </row>
    <row r="107" spans="4:12" x14ac:dyDescent="0.3">
      <c r="D107" s="15"/>
      <c r="E107" s="2"/>
      <c r="F107" s="2"/>
      <c r="G107" s="4"/>
      <c r="H107" s="1"/>
      <c r="I107" s="3"/>
      <c r="J107" s="4"/>
      <c r="K107" s="4"/>
      <c r="L107" s="4"/>
    </row>
    <row r="108" spans="4:12" x14ac:dyDescent="0.3">
      <c r="D108" s="15"/>
      <c r="E108" s="2"/>
      <c r="F108" s="2"/>
      <c r="G108" s="4"/>
      <c r="H108" s="1"/>
      <c r="I108" s="3"/>
      <c r="J108" s="4"/>
      <c r="K108" s="4"/>
      <c r="L108" s="4"/>
    </row>
    <row r="109" spans="4:12" x14ac:dyDescent="0.3">
      <c r="D109" s="15"/>
      <c r="E109" s="2"/>
      <c r="F109" s="2"/>
      <c r="G109" s="4"/>
      <c r="H109" s="1"/>
      <c r="I109" s="3"/>
      <c r="J109" s="4"/>
      <c r="K109" s="4"/>
      <c r="L109" s="4"/>
    </row>
    <row r="110" spans="4:12" x14ac:dyDescent="0.3">
      <c r="D110" s="15"/>
      <c r="E110" s="2"/>
      <c r="F110" s="2"/>
      <c r="G110" s="4"/>
      <c r="H110" s="1"/>
      <c r="I110" s="3"/>
      <c r="J110" s="4"/>
      <c r="K110" s="4"/>
      <c r="L110" s="4"/>
    </row>
    <row r="111" spans="4:12" x14ac:dyDescent="0.3">
      <c r="D111" s="15"/>
      <c r="E111" s="2"/>
      <c r="F111" s="2"/>
      <c r="G111" s="4"/>
      <c r="H111" s="1"/>
      <c r="I111" s="3"/>
      <c r="J111" s="4"/>
      <c r="K111" s="4"/>
      <c r="L111" s="4"/>
    </row>
    <row r="112" spans="4:12" x14ac:dyDescent="0.3">
      <c r="D112" s="15"/>
      <c r="E112" s="2"/>
      <c r="F112" s="2"/>
      <c r="G112" s="4"/>
      <c r="H112" s="1"/>
      <c r="I112" s="3"/>
      <c r="J112" s="4"/>
      <c r="K112" s="4"/>
      <c r="L112" s="4"/>
    </row>
    <row r="113" spans="4:12" x14ac:dyDescent="0.3">
      <c r="D113" s="15"/>
      <c r="E113" s="2"/>
      <c r="F113" s="2"/>
      <c r="G113" s="4"/>
      <c r="H113" s="1"/>
      <c r="I113" s="3"/>
      <c r="J113" s="4"/>
      <c r="K113" s="4"/>
      <c r="L113" s="4"/>
    </row>
    <row r="114" spans="4:12" x14ac:dyDescent="0.3">
      <c r="D114" s="15"/>
      <c r="E114" s="2"/>
      <c r="F114" s="2"/>
      <c r="G114" s="4"/>
      <c r="H114" s="1"/>
      <c r="I114" s="3"/>
      <c r="J114" s="4"/>
      <c r="K114" s="4"/>
      <c r="L114" s="4"/>
    </row>
    <row r="115" spans="4:12" x14ac:dyDescent="0.3">
      <c r="D115" s="15"/>
      <c r="E115" s="2"/>
      <c r="F115" s="2"/>
      <c r="G115" s="4"/>
      <c r="H115" s="1"/>
      <c r="I115" s="3"/>
      <c r="J115" s="4"/>
      <c r="K115" s="4"/>
      <c r="L115" s="4"/>
    </row>
    <row r="116" spans="4:12" x14ac:dyDescent="0.3">
      <c r="D116" s="15"/>
      <c r="E116" s="2"/>
      <c r="F116" s="2"/>
      <c r="G116" s="4"/>
      <c r="H116" s="1"/>
      <c r="I116" s="3"/>
      <c r="J116" s="4"/>
      <c r="K116" s="4"/>
      <c r="L116" s="4"/>
    </row>
    <row r="117" spans="4:12" x14ac:dyDescent="0.3">
      <c r="D117" s="15"/>
      <c r="E117" s="2"/>
      <c r="F117" s="2"/>
      <c r="G117" s="4"/>
      <c r="H117" s="1"/>
      <c r="I117" s="3"/>
      <c r="J117" s="4"/>
      <c r="K117" s="4"/>
      <c r="L117" s="4"/>
    </row>
    <row r="118" spans="4:12" x14ac:dyDescent="0.3">
      <c r="D118" s="15"/>
      <c r="E118" s="2"/>
      <c r="F118" s="2"/>
      <c r="G118" s="4"/>
      <c r="H118" s="1"/>
      <c r="I118" s="3"/>
      <c r="J118" s="4"/>
      <c r="K118" s="4"/>
      <c r="L118" s="4"/>
    </row>
    <row r="119" spans="4:12" x14ac:dyDescent="0.3">
      <c r="D119" s="15"/>
      <c r="E119" s="2"/>
      <c r="F119" s="2"/>
      <c r="G119" s="4"/>
      <c r="H119" s="1"/>
      <c r="I119" s="3"/>
      <c r="J119" s="4"/>
      <c r="K119" s="4"/>
      <c r="L119" s="4"/>
    </row>
    <row r="120" spans="4:12" x14ac:dyDescent="0.3">
      <c r="D120" s="15"/>
      <c r="E120" s="2"/>
      <c r="F120" s="2"/>
      <c r="G120" s="4"/>
      <c r="H120" s="1"/>
      <c r="I120" s="3"/>
      <c r="J120" s="4"/>
      <c r="K120" s="4"/>
      <c r="L120" s="4"/>
    </row>
    <row r="121" spans="4:12" x14ac:dyDescent="0.3">
      <c r="D121" s="15"/>
      <c r="E121" s="2"/>
      <c r="F121" s="2"/>
      <c r="G121" s="4"/>
      <c r="H121" s="1"/>
      <c r="I121" s="3"/>
      <c r="J121" s="4"/>
      <c r="K121" s="4"/>
      <c r="L121" s="4"/>
    </row>
    <row r="122" spans="4:12" x14ac:dyDescent="0.3">
      <c r="D122" s="15"/>
      <c r="E122" s="2"/>
      <c r="F122" s="2"/>
      <c r="G122" s="4"/>
      <c r="H122" s="1"/>
      <c r="I122" s="3"/>
      <c r="J122" s="4"/>
      <c r="K122" s="4"/>
      <c r="L122" s="4"/>
    </row>
    <row r="123" spans="4:12" x14ac:dyDescent="0.3">
      <c r="D123" s="15"/>
      <c r="E123" s="2"/>
      <c r="F123" s="2"/>
      <c r="G123" s="4"/>
      <c r="H123" s="1"/>
      <c r="I123" s="3"/>
      <c r="J123" s="4"/>
      <c r="K123" s="4"/>
      <c r="L123" s="4"/>
    </row>
    <row r="124" spans="4:12" x14ac:dyDescent="0.3">
      <c r="D124" s="15"/>
      <c r="E124" s="2"/>
      <c r="F124" s="2"/>
      <c r="G124" s="4"/>
      <c r="H124" s="1"/>
      <c r="I124" s="3"/>
      <c r="J124" s="4"/>
      <c r="K124" s="4"/>
      <c r="L124" s="4"/>
    </row>
    <row r="125" spans="4:12" x14ac:dyDescent="0.3">
      <c r="D125" s="15"/>
      <c r="E125" s="2"/>
      <c r="F125" s="2"/>
      <c r="G125" s="4"/>
      <c r="H125" s="1"/>
      <c r="I125" s="3"/>
      <c r="J125" s="4"/>
      <c r="K125" s="4"/>
      <c r="L125" s="4"/>
    </row>
    <row r="126" spans="4:12" x14ac:dyDescent="0.3">
      <c r="D126" s="15"/>
      <c r="E126" s="2"/>
      <c r="F126" s="2"/>
      <c r="G126" s="4"/>
      <c r="H126" s="1"/>
      <c r="I126" s="3"/>
      <c r="J126" s="4"/>
      <c r="K126" s="4"/>
      <c r="L126" s="4"/>
    </row>
    <row r="127" spans="4:12" x14ac:dyDescent="0.3">
      <c r="D127" s="15"/>
      <c r="E127" s="2"/>
      <c r="F127" s="2"/>
      <c r="G127" s="4"/>
      <c r="H127" s="1"/>
      <c r="I127" s="3"/>
      <c r="J127" s="4"/>
      <c r="K127" s="4"/>
      <c r="L127" s="4"/>
    </row>
    <row r="128" spans="4:12" x14ac:dyDescent="0.3">
      <c r="D128" s="15"/>
      <c r="E128" s="2"/>
      <c r="F128" s="2"/>
      <c r="G128" s="4"/>
      <c r="H128" s="1"/>
      <c r="I128" s="3"/>
      <c r="J128" s="4"/>
      <c r="K128" s="4"/>
      <c r="L128" s="4"/>
    </row>
    <row r="129" spans="4:12" x14ac:dyDescent="0.3">
      <c r="D129" s="15"/>
      <c r="E129" s="2"/>
      <c r="F129" s="2"/>
      <c r="G129" s="4"/>
      <c r="H129" s="1"/>
      <c r="I129" s="3"/>
      <c r="J129" s="4"/>
      <c r="K129" s="4"/>
      <c r="L129" s="4"/>
    </row>
    <row r="130" spans="4:12" x14ac:dyDescent="0.3">
      <c r="D130" s="15"/>
      <c r="E130" s="2"/>
      <c r="F130" s="2"/>
      <c r="G130" s="4"/>
      <c r="H130" s="1"/>
      <c r="I130" s="3"/>
      <c r="J130" s="4"/>
      <c r="K130" s="4"/>
      <c r="L130" s="4"/>
    </row>
    <row r="131" spans="4:12" x14ac:dyDescent="0.3">
      <c r="D131" s="15"/>
      <c r="E131" s="2"/>
      <c r="F131" s="2"/>
      <c r="G131" s="4"/>
      <c r="H131" s="1"/>
      <c r="I131" s="3"/>
      <c r="J131" s="4"/>
      <c r="K131" s="4"/>
      <c r="L131" s="4"/>
    </row>
    <row r="132" spans="4:12" x14ac:dyDescent="0.3">
      <c r="D132" s="15"/>
      <c r="E132" s="2"/>
      <c r="F132" s="2"/>
      <c r="G132" s="4"/>
      <c r="H132" s="1"/>
      <c r="I132" s="3"/>
      <c r="J132" s="4"/>
      <c r="K132" s="4"/>
      <c r="L132" s="4"/>
    </row>
    <row r="133" spans="4:12" x14ac:dyDescent="0.3">
      <c r="D133" s="15"/>
      <c r="E133" s="2"/>
      <c r="F133" s="2"/>
      <c r="G133" s="4"/>
      <c r="H133" s="1"/>
      <c r="I133" s="3"/>
      <c r="J133" s="4"/>
      <c r="K133" s="4"/>
      <c r="L133" s="4"/>
    </row>
    <row r="134" spans="4:12" x14ac:dyDescent="0.3">
      <c r="D134" s="15"/>
      <c r="E134" s="2"/>
      <c r="F134" s="2"/>
      <c r="G134" s="4"/>
      <c r="H134" s="1"/>
      <c r="I134" s="3"/>
      <c r="J134" s="4"/>
      <c r="K134" s="4"/>
      <c r="L134" s="4"/>
    </row>
    <row r="135" spans="4:12" x14ac:dyDescent="0.3">
      <c r="D135" s="15"/>
      <c r="E135" s="2"/>
      <c r="F135" s="2"/>
      <c r="G135" s="4"/>
      <c r="H135" s="1"/>
      <c r="I135" s="3"/>
      <c r="J135" s="4"/>
      <c r="K135" s="4"/>
      <c r="L135" s="4"/>
    </row>
    <row r="136" spans="4:12" x14ac:dyDescent="0.3">
      <c r="D136" s="15"/>
      <c r="E136" s="2"/>
      <c r="F136" s="2"/>
      <c r="G136" s="4"/>
      <c r="H136" s="1"/>
      <c r="I136" s="3"/>
      <c r="J136" s="4"/>
      <c r="K136" s="4"/>
      <c r="L136" s="4"/>
    </row>
    <row r="137" spans="4:12" x14ac:dyDescent="0.3">
      <c r="D137" s="15"/>
      <c r="E137" s="2"/>
      <c r="F137" s="2"/>
      <c r="G137" s="4"/>
      <c r="H137" s="1"/>
      <c r="I137" s="3"/>
      <c r="J137" s="4"/>
      <c r="K137" s="4"/>
      <c r="L137" s="4"/>
    </row>
    <row r="138" spans="4:12" x14ac:dyDescent="0.3">
      <c r="D138" s="15"/>
      <c r="E138" s="2"/>
      <c r="F138" s="2"/>
      <c r="G138" s="4"/>
      <c r="H138" s="1"/>
      <c r="I138" s="3"/>
      <c r="J138" s="4"/>
      <c r="K138" s="4"/>
      <c r="L138" s="4"/>
    </row>
    <row r="139" spans="4:12" x14ac:dyDescent="0.3">
      <c r="D139" s="15"/>
      <c r="E139" s="2"/>
      <c r="F139" s="2"/>
      <c r="G139" s="4"/>
      <c r="H139" s="1"/>
      <c r="I139" s="3"/>
      <c r="J139" s="4"/>
      <c r="K139" s="4"/>
      <c r="L139" s="4"/>
    </row>
    <row r="140" spans="4:12" x14ac:dyDescent="0.3">
      <c r="D140" s="15"/>
      <c r="E140" s="2"/>
      <c r="F140" s="2"/>
      <c r="G140" s="4"/>
      <c r="H140" s="1"/>
      <c r="I140" s="3"/>
      <c r="J140" s="4"/>
      <c r="K140" s="4"/>
      <c r="L140" s="4"/>
    </row>
    <row r="141" spans="4:12" x14ac:dyDescent="0.3">
      <c r="D141" s="15"/>
      <c r="E141" s="2"/>
      <c r="F141" s="2"/>
      <c r="G141" s="4"/>
      <c r="H141" s="1"/>
      <c r="I141" s="3"/>
      <c r="J141" s="4"/>
      <c r="K141" s="4"/>
      <c r="L141" s="4"/>
    </row>
    <row r="142" spans="4:12" x14ac:dyDescent="0.3">
      <c r="D142" s="15"/>
      <c r="E142" s="2"/>
      <c r="F142" s="2"/>
      <c r="G142" s="4"/>
      <c r="H142" s="1"/>
      <c r="I142" s="3"/>
      <c r="J142" s="4"/>
      <c r="K142" s="4"/>
      <c r="L142" s="4"/>
    </row>
    <row r="143" spans="4:12" x14ac:dyDescent="0.3">
      <c r="D143" s="15"/>
      <c r="E143" s="2"/>
      <c r="F143" s="2"/>
      <c r="G143" s="4"/>
      <c r="H143" s="1"/>
      <c r="I143" s="3"/>
      <c r="J143" s="4"/>
      <c r="K143" s="4"/>
      <c r="L143" s="4"/>
    </row>
    <row r="144" spans="4:12" x14ac:dyDescent="0.3">
      <c r="D144" s="15"/>
      <c r="E144" s="2"/>
      <c r="F144" s="2"/>
      <c r="G144" s="4"/>
      <c r="H144" s="1"/>
      <c r="I144" s="3"/>
      <c r="J144" s="4"/>
      <c r="K144" s="4"/>
      <c r="L144" s="4"/>
    </row>
    <row r="145" spans="4:12" x14ac:dyDescent="0.3">
      <c r="D145" s="15"/>
      <c r="E145" s="2"/>
      <c r="F145" s="2"/>
      <c r="G145" s="4"/>
      <c r="H145" s="1"/>
      <c r="I145" s="3"/>
      <c r="J145" s="4"/>
      <c r="K145" s="4"/>
      <c r="L145" s="4"/>
    </row>
    <row r="146" spans="4:12" x14ac:dyDescent="0.3">
      <c r="D146" s="15"/>
      <c r="E146" s="2"/>
      <c r="F146" s="2"/>
      <c r="G146" s="4"/>
      <c r="H146" s="1"/>
      <c r="I146" s="3"/>
      <c r="J146" s="4"/>
      <c r="K146" s="4"/>
      <c r="L146" s="4"/>
    </row>
    <row r="147" spans="4:12" x14ac:dyDescent="0.3">
      <c r="D147" s="15"/>
      <c r="E147" s="2"/>
      <c r="F147" s="2"/>
      <c r="G147" s="4"/>
      <c r="H147" s="1"/>
      <c r="I147" s="3"/>
      <c r="J147" s="4"/>
      <c r="K147" s="4"/>
      <c r="L147" s="4"/>
    </row>
    <row r="148" spans="4:12" x14ac:dyDescent="0.3">
      <c r="D148" s="15"/>
      <c r="E148" s="2"/>
      <c r="F148" s="2"/>
      <c r="G148" s="4"/>
      <c r="H148" s="1"/>
      <c r="I148" s="3"/>
      <c r="J148" s="4"/>
      <c r="K148" s="4"/>
      <c r="L148" s="4"/>
    </row>
    <row r="149" spans="4:12" x14ac:dyDescent="0.3">
      <c r="D149" s="15"/>
      <c r="E149" s="2"/>
      <c r="F149" s="2"/>
      <c r="G149" s="4"/>
      <c r="H149" s="1"/>
      <c r="I149" s="3"/>
      <c r="J149" s="4"/>
      <c r="K149" s="4"/>
      <c r="L149" s="4"/>
    </row>
    <row r="150" spans="4:12" x14ac:dyDescent="0.3">
      <c r="D150" s="15"/>
      <c r="E150" s="2"/>
      <c r="F150" s="2"/>
      <c r="G150" s="4"/>
      <c r="H150" s="1"/>
      <c r="I150" s="3"/>
      <c r="J150" s="4"/>
      <c r="K150" s="4"/>
      <c r="L150" s="4"/>
    </row>
    <row r="151" spans="4:12" x14ac:dyDescent="0.3">
      <c r="D151" s="15"/>
      <c r="E151" s="2"/>
      <c r="F151" s="2"/>
      <c r="G151" s="4"/>
      <c r="H151" s="1"/>
      <c r="I151" s="3"/>
      <c r="J151" s="4"/>
      <c r="K151" s="4"/>
      <c r="L151" s="4"/>
    </row>
    <row r="152" spans="4:12" x14ac:dyDescent="0.3">
      <c r="D152" s="15"/>
      <c r="E152" s="2"/>
      <c r="F152" s="2"/>
      <c r="G152" s="4"/>
      <c r="H152" s="1"/>
      <c r="I152" s="3"/>
      <c r="J152" s="4"/>
      <c r="K152" s="4"/>
      <c r="L152" s="4"/>
    </row>
    <row r="153" spans="4:12" x14ac:dyDescent="0.3">
      <c r="D153" s="15"/>
      <c r="E153" s="2"/>
      <c r="F153" s="2"/>
      <c r="G153" s="4"/>
      <c r="H153" s="1"/>
      <c r="I153" s="3"/>
      <c r="J153" s="4"/>
      <c r="K153" s="4"/>
      <c r="L153" s="4"/>
    </row>
    <row r="154" spans="4:12" x14ac:dyDescent="0.3">
      <c r="D154" s="15"/>
      <c r="E154" s="2"/>
      <c r="F154" s="2"/>
      <c r="G154" s="4"/>
      <c r="H154" s="1"/>
      <c r="I154" s="3"/>
      <c r="J154" s="4"/>
      <c r="K154" s="4"/>
      <c r="L154" s="4"/>
    </row>
    <row r="155" spans="4:12" x14ac:dyDescent="0.3">
      <c r="D155" s="15"/>
      <c r="E155" s="2"/>
      <c r="F155" s="2"/>
      <c r="G155" s="4"/>
      <c r="H155" s="1"/>
      <c r="I155" s="3"/>
      <c r="J155" s="4"/>
      <c r="K155" s="4"/>
      <c r="L155" s="4"/>
    </row>
    <row r="156" spans="4:12" x14ac:dyDescent="0.3">
      <c r="D156" s="15"/>
      <c r="E156" s="2"/>
      <c r="F156" s="2"/>
      <c r="G156" s="4"/>
      <c r="H156" s="1"/>
      <c r="I156" s="3"/>
      <c r="J156" s="4"/>
      <c r="K156" s="4"/>
      <c r="L156" s="4"/>
    </row>
    <row r="157" spans="4:12" x14ac:dyDescent="0.3">
      <c r="D157" s="15"/>
      <c r="E157" s="2"/>
      <c r="F157" s="2"/>
      <c r="G157" s="4"/>
      <c r="H157" s="1"/>
      <c r="I157" s="3"/>
      <c r="J157" s="4"/>
      <c r="K157" s="4"/>
      <c r="L157" s="4"/>
    </row>
    <row r="158" spans="4:12" x14ac:dyDescent="0.3">
      <c r="D158" s="15"/>
      <c r="E158" s="2"/>
      <c r="F158" s="2"/>
      <c r="G158" s="4"/>
      <c r="H158" s="1"/>
      <c r="I158" s="3"/>
      <c r="J158" s="4"/>
      <c r="K158" s="4"/>
      <c r="L158" s="4"/>
    </row>
    <row r="159" spans="4:12" x14ac:dyDescent="0.3">
      <c r="D159" s="15"/>
      <c r="E159" s="2"/>
      <c r="F159" s="2"/>
      <c r="G159" s="4"/>
      <c r="H159" s="1"/>
      <c r="I159" s="3"/>
      <c r="J159" s="4"/>
      <c r="K159" s="4"/>
      <c r="L159" s="4"/>
    </row>
    <row r="160" spans="4:12" x14ac:dyDescent="0.3">
      <c r="D160" s="15"/>
      <c r="E160" s="2"/>
      <c r="F160" s="2"/>
      <c r="G160" s="4"/>
      <c r="H160" s="1"/>
      <c r="I160" s="3"/>
      <c r="J160" s="4"/>
      <c r="K160" s="4"/>
      <c r="L160" s="4"/>
    </row>
    <row r="161" spans="4:12" x14ac:dyDescent="0.3">
      <c r="D161" s="15"/>
      <c r="E161" s="2"/>
      <c r="F161" s="2"/>
      <c r="G161" s="4"/>
      <c r="H161" s="1"/>
      <c r="I161" s="3"/>
      <c r="J161" s="4"/>
      <c r="K161" s="4"/>
      <c r="L161" s="4"/>
    </row>
    <row r="162" spans="4:12" x14ac:dyDescent="0.3">
      <c r="D162" s="15"/>
      <c r="E162" s="2"/>
      <c r="F162" s="2"/>
      <c r="G162" s="4"/>
      <c r="H162" s="1"/>
      <c r="I162" s="3"/>
      <c r="J162" s="4"/>
      <c r="K162" s="4"/>
      <c r="L162" s="4"/>
    </row>
    <row r="163" spans="4:12" x14ac:dyDescent="0.3">
      <c r="D163" s="15"/>
      <c r="E163" s="2"/>
      <c r="F163" s="2"/>
      <c r="G163" s="4"/>
      <c r="H163" s="1"/>
      <c r="I163" s="3"/>
      <c r="J163" s="4"/>
      <c r="K163" s="4"/>
      <c r="L163" s="4"/>
    </row>
    <row r="164" spans="4:12" x14ac:dyDescent="0.3">
      <c r="D164" s="15"/>
      <c r="E164" s="2"/>
      <c r="F164" s="2"/>
      <c r="G164" s="4"/>
      <c r="H164" s="1"/>
      <c r="I164" s="3"/>
      <c r="J164" s="4"/>
      <c r="K164" s="4"/>
      <c r="L164" s="4"/>
    </row>
    <row r="165" spans="4:12" x14ac:dyDescent="0.3">
      <c r="D165" s="15"/>
      <c r="E165" s="2"/>
      <c r="F165" s="2"/>
      <c r="G165" s="4"/>
      <c r="H165" s="1"/>
      <c r="I165" s="3"/>
      <c r="J165" s="4"/>
      <c r="K165" s="4"/>
      <c r="L165" s="4"/>
    </row>
    <row r="166" spans="4:12" x14ac:dyDescent="0.3">
      <c r="D166" s="15"/>
      <c r="E166" s="2"/>
      <c r="F166" s="2"/>
      <c r="G166" s="4"/>
      <c r="H166" s="1"/>
      <c r="I166" s="3"/>
      <c r="J166" s="4"/>
      <c r="K166" s="4"/>
      <c r="L166" s="4"/>
    </row>
    <row r="167" spans="4:12" x14ac:dyDescent="0.3">
      <c r="D167" s="15"/>
      <c r="E167" s="2"/>
      <c r="F167" s="2"/>
      <c r="G167" s="4"/>
      <c r="H167" s="1"/>
      <c r="I167" s="3"/>
      <c r="J167" s="4"/>
      <c r="K167" s="4"/>
      <c r="L167" s="4"/>
    </row>
    <row r="168" spans="4:12" x14ac:dyDescent="0.3">
      <c r="D168" s="15"/>
      <c r="E168" s="2"/>
      <c r="F168" s="2"/>
      <c r="G168" s="4"/>
      <c r="H168" s="1"/>
      <c r="I168" s="3"/>
      <c r="J168" s="4"/>
      <c r="K168" s="4"/>
      <c r="L168" s="4"/>
    </row>
    <row r="169" spans="4:12" x14ac:dyDescent="0.3">
      <c r="D169" s="15"/>
      <c r="E169" s="2"/>
      <c r="F169" s="2"/>
      <c r="G169" s="4"/>
      <c r="H169" s="1"/>
      <c r="I169" s="3"/>
      <c r="J169" s="4"/>
      <c r="K169" s="4"/>
      <c r="L169" s="4"/>
    </row>
    <row r="170" spans="4:12" x14ac:dyDescent="0.3">
      <c r="D170" s="15"/>
      <c r="E170" s="2"/>
      <c r="F170" s="2"/>
      <c r="G170" s="4"/>
      <c r="H170" s="1"/>
      <c r="I170" s="3"/>
      <c r="J170" s="4"/>
      <c r="K170" s="4"/>
      <c r="L170" s="4"/>
    </row>
    <row r="171" spans="4:12" x14ac:dyDescent="0.3">
      <c r="D171" s="15"/>
      <c r="E171" s="2"/>
      <c r="F171" s="2"/>
      <c r="G171" s="4"/>
      <c r="H171" s="1"/>
      <c r="I171" s="3"/>
      <c r="J171" s="4"/>
      <c r="K171" s="4"/>
      <c r="L171" s="4"/>
    </row>
    <row r="172" spans="4:12" x14ac:dyDescent="0.3">
      <c r="D172" s="15"/>
      <c r="E172" s="2"/>
      <c r="F172" s="2"/>
      <c r="G172" s="4"/>
      <c r="H172" s="1"/>
      <c r="I172" s="3"/>
      <c r="J172" s="4"/>
      <c r="K172" s="4"/>
      <c r="L172" s="4"/>
    </row>
    <row r="173" spans="4:12" x14ac:dyDescent="0.3">
      <c r="D173" s="15"/>
      <c r="E173" s="2"/>
      <c r="F173" s="2"/>
      <c r="G173" s="4"/>
      <c r="H173" s="1"/>
      <c r="I173" s="3"/>
      <c r="J173" s="4"/>
      <c r="K173" s="4"/>
      <c r="L173" s="4"/>
    </row>
    <row r="174" spans="4:12" x14ac:dyDescent="0.3">
      <c r="D174" s="15"/>
      <c r="E174" s="2"/>
      <c r="F174" s="2"/>
      <c r="G174" s="4"/>
      <c r="H174" s="1"/>
      <c r="I174" s="3"/>
      <c r="J174" s="4"/>
      <c r="K174" s="4"/>
      <c r="L174" s="4"/>
    </row>
    <row r="175" spans="4:12" x14ac:dyDescent="0.3">
      <c r="D175" s="15"/>
      <c r="E175" s="2"/>
      <c r="F175" s="2"/>
      <c r="G175" s="4"/>
      <c r="H175" s="1"/>
      <c r="I175" s="3"/>
      <c r="J175" s="4"/>
      <c r="K175" s="4"/>
      <c r="L175" s="4"/>
    </row>
    <row r="176" spans="4:12" x14ac:dyDescent="0.3">
      <c r="D176" s="15"/>
      <c r="E176" s="2"/>
      <c r="F176" s="2"/>
      <c r="G176" s="4"/>
      <c r="H176" s="1"/>
      <c r="I176" s="3"/>
      <c r="J176" s="4"/>
      <c r="K176" s="4"/>
      <c r="L176" s="4"/>
    </row>
    <row r="177" spans="4:12" x14ac:dyDescent="0.3">
      <c r="D177" s="15"/>
      <c r="E177" s="2"/>
      <c r="F177" s="2"/>
      <c r="G177" s="4"/>
      <c r="H177" s="1"/>
      <c r="I177" s="3"/>
      <c r="J177" s="4"/>
      <c r="K177" s="4"/>
      <c r="L177" s="4"/>
    </row>
    <row r="178" spans="4:12" x14ac:dyDescent="0.3">
      <c r="D178" s="15"/>
      <c r="E178" s="2"/>
      <c r="F178" s="2"/>
      <c r="G178" s="4"/>
      <c r="H178" s="1"/>
      <c r="I178" s="3"/>
      <c r="J178" s="4"/>
      <c r="K178" s="4"/>
      <c r="L178" s="4"/>
    </row>
    <row r="179" spans="4:12" x14ac:dyDescent="0.3">
      <c r="D179" s="15"/>
      <c r="E179" s="2"/>
      <c r="F179" s="2"/>
      <c r="G179" s="4"/>
      <c r="H179" s="1"/>
      <c r="I179" s="3"/>
      <c r="J179" s="4"/>
      <c r="K179" s="4"/>
      <c r="L179" s="4"/>
    </row>
    <row r="180" spans="4:12" x14ac:dyDescent="0.3">
      <c r="D180" s="15"/>
      <c r="E180" s="2"/>
      <c r="F180" s="2"/>
      <c r="G180" s="4"/>
      <c r="H180" s="1"/>
      <c r="I180" s="3"/>
      <c r="J180" s="4"/>
      <c r="K180" s="4"/>
      <c r="L180" s="4"/>
    </row>
    <row r="181" spans="4:12" x14ac:dyDescent="0.3">
      <c r="D181" s="15"/>
      <c r="E181" s="2"/>
      <c r="F181" s="2"/>
      <c r="G181" s="4"/>
      <c r="H181" s="1"/>
      <c r="I181" s="3"/>
      <c r="J181" s="4"/>
      <c r="K181" s="4"/>
      <c r="L181" s="4"/>
    </row>
    <row r="182" spans="4:12" x14ac:dyDescent="0.3">
      <c r="D182" s="15"/>
      <c r="E182" s="2"/>
      <c r="F182" s="2"/>
      <c r="G182" s="4"/>
      <c r="H182" s="1"/>
      <c r="I182" s="3"/>
      <c r="J182" s="4"/>
      <c r="K182" s="4"/>
      <c r="L182" s="4"/>
    </row>
    <row r="183" spans="4:12" x14ac:dyDescent="0.3">
      <c r="D183" s="15"/>
      <c r="E183" s="2"/>
      <c r="F183" s="2"/>
      <c r="G183" s="4"/>
      <c r="H183" s="1"/>
      <c r="I183" s="3"/>
      <c r="J183" s="4"/>
      <c r="K183" s="4"/>
      <c r="L183" s="4"/>
    </row>
    <row r="184" spans="4:12" x14ac:dyDescent="0.3">
      <c r="D184" s="15"/>
      <c r="E184" s="2"/>
      <c r="F184" s="2"/>
      <c r="G184" s="4"/>
      <c r="H184" s="1"/>
      <c r="I184" s="3"/>
      <c r="J184" s="4"/>
      <c r="K184" s="4"/>
      <c r="L184" s="4"/>
    </row>
    <row r="185" spans="4:12" x14ac:dyDescent="0.3">
      <c r="D185" s="15"/>
      <c r="E185" s="2"/>
      <c r="F185" s="2"/>
      <c r="G185" s="4"/>
      <c r="H185" s="1"/>
      <c r="I185" s="3"/>
      <c r="J185" s="4"/>
      <c r="K185" s="4"/>
      <c r="L185" s="4"/>
    </row>
    <row r="186" spans="4:12" x14ac:dyDescent="0.3">
      <c r="D186" s="15"/>
      <c r="E186" s="2"/>
      <c r="F186" s="2"/>
      <c r="G186" s="4"/>
      <c r="H186" s="1"/>
      <c r="I186" s="3"/>
      <c r="J186" s="4"/>
      <c r="K186" s="4"/>
      <c r="L186" s="4"/>
    </row>
    <row r="187" spans="4:12" x14ac:dyDescent="0.3">
      <c r="D187" s="15"/>
      <c r="E187" s="2"/>
      <c r="F187" s="2"/>
      <c r="G187" s="4"/>
      <c r="H187" s="1"/>
      <c r="I187" s="3"/>
      <c r="J187" s="4"/>
      <c r="K187" s="4"/>
      <c r="L187" s="4"/>
    </row>
    <row r="188" spans="4:12" x14ac:dyDescent="0.3">
      <c r="D188" s="15"/>
      <c r="E188" s="2"/>
      <c r="F188" s="2"/>
      <c r="G188" s="4"/>
      <c r="H188" s="1"/>
      <c r="I188" s="3"/>
      <c r="J188" s="4"/>
      <c r="K188" s="4"/>
      <c r="L188" s="4"/>
    </row>
    <row r="189" spans="4:12" x14ac:dyDescent="0.3">
      <c r="D189" s="15"/>
      <c r="E189" s="2"/>
      <c r="F189" s="2"/>
      <c r="G189" s="4"/>
      <c r="H189" s="1"/>
      <c r="I189" s="3"/>
      <c r="J189" s="4"/>
      <c r="K189" s="4"/>
      <c r="L189" s="4"/>
    </row>
    <row r="190" spans="4:12" x14ac:dyDescent="0.3">
      <c r="D190" s="15"/>
      <c r="E190" s="2"/>
      <c r="F190" s="2"/>
      <c r="G190" s="4"/>
      <c r="H190" s="1"/>
      <c r="I190" s="3"/>
      <c r="J190" s="4"/>
      <c r="K190" s="4"/>
      <c r="L190" s="4"/>
    </row>
    <row r="191" spans="4:12" x14ac:dyDescent="0.3">
      <c r="D191" s="15"/>
      <c r="E191" s="2"/>
      <c r="F191" s="2"/>
      <c r="G191" s="4"/>
      <c r="H191" s="1"/>
      <c r="I191" s="3"/>
      <c r="J191" s="4"/>
      <c r="K191" s="4"/>
      <c r="L191" s="4"/>
    </row>
    <row r="192" spans="4:12" x14ac:dyDescent="0.3">
      <c r="D192" s="15"/>
      <c r="E192" s="2"/>
      <c r="F192" s="2"/>
      <c r="G192" s="4"/>
      <c r="H192" s="1"/>
      <c r="I192" s="3"/>
      <c r="J192" s="4"/>
      <c r="K192" s="4"/>
      <c r="L192" s="4"/>
    </row>
    <row r="193" spans="4:12" x14ac:dyDescent="0.3">
      <c r="D193" s="15"/>
      <c r="E193" s="2"/>
      <c r="F193" s="2"/>
      <c r="G193" s="4"/>
      <c r="H193" s="1"/>
      <c r="I193" s="3"/>
      <c r="J193" s="4"/>
      <c r="K193" s="4"/>
      <c r="L193" s="4"/>
    </row>
    <row r="194" spans="4:12" x14ac:dyDescent="0.3">
      <c r="D194" s="15"/>
      <c r="E194" s="2"/>
      <c r="F194" s="2"/>
      <c r="G194" s="4"/>
      <c r="H194" s="1"/>
      <c r="I194" s="3"/>
      <c r="J194" s="4"/>
      <c r="K194" s="4"/>
      <c r="L194" s="4"/>
    </row>
    <row r="195" spans="4:12" x14ac:dyDescent="0.3">
      <c r="D195" s="15"/>
      <c r="E195" s="2"/>
      <c r="F195" s="2"/>
      <c r="G195" s="4"/>
      <c r="H195" s="1"/>
      <c r="I195" s="3"/>
      <c r="J195" s="4"/>
      <c r="K195" s="4"/>
      <c r="L195" s="4"/>
    </row>
    <row r="196" spans="4:12" x14ac:dyDescent="0.3">
      <c r="D196" s="15"/>
      <c r="E196" s="2"/>
      <c r="F196" s="2"/>
      <c r="G196" s="4"/>
      <c r="H196" s="1"/>
      <c r="I196" s="3"/>
      <c r="J196" s="4"/>
      <c r="K196" s="4"/>
      <c r="L196" s="4"/>
    </row>
    <row r="197" spans="4:12" x14ac:dyDescent="0.3">
      <c r="D197" s="15"/>
      <c r="E197" s="2"/>
      <c r="F197" s="2"/>
      <c r="G197" s="4"/>
      <c r="H197" s="1"/>
      <c r="I197" s="3"/>
      <c r="J197" s="4"/>
      <c r="K197" s="4"/>
      <c r="L197" s="4"/>
    </row>
    <row r="198" spans="4:12" x14ac:dyDescent="0.3">
      <c r="D198" s="15"/>
      <c r="E198" s="2"/>
      <c r="F198" s="2"/>
      <c r="G198" s="4"/>
      <c r="H198" s="1"/>
      <c r="I198" s="3"/>
      <c r="J198" s="4"/>
      <c r="K198" s="4"/>
      <c r="L198" s="4"/>
    </row>
    <row r="199" spans="4:12" x14ac:dyDescent="0.3">
      <c r="D199" s="15"/>
      <c r="E199" s="2"/>
      <c r="F199" s="2"/>
      <c r="G199" s="4"/>
      <c r="H199" s="1"/>
      <c r="I199" s="3"/>
      <c r="J199" s="4"/>
      <c r="K199" s="4"/>
      <c r="L199" s="4"/>
    </row>
    <row r="200" spans="4:12" x14ac:dyDescent="0.3">
      <c r="D200" s="15"/>
      <c r="E200" s="2"/>
      <c r="F200" s="2"/>
      <c r="G200" s="4"/>
      <c r="H200" s="1"/>
      <c r="I200" s="3"/>
      <c r="J200" s="4"/>
      <c r="K200" s="4"/>
      <c r="L200" s="4"/>
    </row>
    <row r="201" spans="4:12" x14ac:dyDescent="0.3">
      <c r="D201" s="15"/>
      <c r="E201" s="2"/>
      <c r="F201" s="2"/>
      <c r="G201" s="4"/>
      <c r="H201" s="1"/>
      <c r="I201" s="3"/>
      <c r="J201" s="4"/>
      <c r="K201" s="4"/>
      <c r="L201" s="4"/>
    </row>
    <row r="202" spans="4:12" x14ac:dyDescent="0.3">
      <c r="D202" s="15"/>
      <c r="E202" s="2"/>
      <c r="F202" s="2"/>
      <c r="G202" s="4"/>
      <c r="H202" s="1"/>
      <c r="I202" s="3"/>
      <c r="J202" s="4"/>
      <c r="K202" s="4"/>
      <c r="L202" s="4"/>
    </row>
    <row r="203" spans="4:12" x14ac:dyDescent="0.3">
      <c r="D203" s="15"/>
      <c r="E203" s="2"/>
      <c r="F203" s="2"/>
      <c r="G203" s="4"/>
      <c r="H203" s="1"/>
      <c r="I203" s="3"/>
      <c r="J203" s="4"/>
      <c r="K203" s="4"/>
      <c r="L203" s="4"/>
    </row>
    <row r="204" spans="4:12" x14ac:dyDescent="0.3">
      <c r="D204" s="15"/>
      <c r="E204" s="2"/>
      <c r="F204" s="2"/>
      <c r="G204" s="4"/>
      <c r="H204" s="1"/>
      <c r="I204" s="3"/>
      <c r="J204" s="4"/>
      <c r="K204" s="4"/>
      <c r="L204" s="4"/>
    </row>
    <row r="205" spans="4:12" x14ac:dyDescent="0.3">
      <c r="D205" s="15"/>
      <c r="E205" s="2"/>
      <c r="F205" s="2"/>
      <c r="G205" s="4"/>
      <c r="H205" s="1"/>
      <c r="I205" s="3"/>
      <c r="J205" s="4"/>
      <c r="K205" s="4"/>
      <c r="L205" s="4"/>
    </row>
    <row r="206" spans="4:12" x14ac:dyDescent="0.3">
      <c r="D206" s="15"/>
      <c r="E206" s="2"/>
      <c r="F206" s="2"/>
      <c r="G206" s="4"/>
      <c r="H206" s="1"/>
      <c r="I206" s="3"/>
      <c r="J206" s="4"/>
      <c r="K206" s="4"/>
      <c r="L206" s="4"/>
    </row>
    <row r="207" spans="4:12" x14ac:dyDescent="0.3">
      <c r="D207" s="15"/>
      <c r="E207" s="2"/>
      <c r="F207" s="2"/>
      <c r="G207" s="4"/>
      <c r="H207" s="1"/>
      <c r="I207" s="3"/>
      <c r="J207" s="4"/>
      <c r="K207" s="4"/>
      <c r="L207" s="4"/>
    </row>
    <row r="208" spans="4:12" x14ac:dyDescent="0.3">
      <c r="D208" s="15"/>
      <c r="E208" s="2"/>
      <c r="F208" s="2"/>
      <c r="G208" s="4"/>
      <c r="H208" s="1"/>
      <c r="I208" s="3"/>
      <c r="J208" s="4"/>
      <c r="K208" s="4"/>
      <c r="L208" s="4"/>
    </row>
    <row r="209" spans="4:12" x14ac:dyDescent="0.3">
      <c r="D209" s="15"/>
      <c r="E209" s="2"/>
      <c r="F209" s="2"/>
      <c r="G209" s="4"/>
      <c r="H209" s="1"/>
      <c r="I209" s="3"/>
      <c r="J209" s="4"/>
      <c r="K209" s="4"/>
      <c r="L209" s="4"/>
    </row>
    <row r="210" spans="4:12" x14ac:dyDescent="0.3">
      <c r="D210" s="15"/>
      <c r="E210" s="2"/>
      <c r="F210" s="2"/>
      <c r="G210" s="4"/>
      <c r="H210" s="1"/>
      <c r="I210" s="3"/>
      <c r="J210" s="4"/>
      <c r="K210" s="4"/>
      <c r="L210" s="4"/>
    </row>
    <row r="211" spans="4:12" x14ac:dyDescent="0.3">
      <c r="D211" s="15"/>
      <c r="E211" s="2"/>
      <c r="F211" s="2"/>
      <c r="G211" s="4"/>
      <c r="H211" s="1"/>
      <c r="I211" s="3"/>
      <c r="J211" s="4"/>
      <c r="K211" s="4"/>
      <c r="L211" s="4"/>
    </row>
    <row r="212" spans="4:12" x14ac:dyDescent="0.3">
      <c r="D212" s="15"/>
      <c r="E212" s="2"/>
      <c r="F212" s="2"/>
      <c r="G212" s="4"/>
      <c r="H212" s="1"/>
      <c r="I212" s="3"/>
      <c r="J212" s="4"/>
      <c r="K212" s="4"/>
      <c r="L212" s="4"/>
    </row>
    <row r="213" spans="4:12" x14ac:dyDescent="0.3">
      <c r="D213" s="15"/>
      <c r="E213" s="2"/>
      <c r="F213" s="2"/>
      <c r="G213" s="4"/>
      <c r="H213" s="1"/>
      <c r="I213" s="3"/>
      <c r="J213" s="4"/>
      <c r="K213" s="4"/>
      <c r="L213" s="4"/>
    </row>
    <row r="214" spans="4:12" x14ac:dyDescent="0.3">
      <c r="D214" s="15"/>
      <c r="E214" s="2"/>
      <c r="F214" s="2"/>
      <c r="G214" s="4"/>
      <c r="H214" s="1"/>
      <c r="I214" s="3"/>
      <c r="J214" s="4"/>
      <c r="K214" s="4"/>
      <c r="L214" s="4"/>
    </row>
    <row r="215" spans="4:12" x14ac:dyDescent="0.3">
      <c r="D215" s="15"/>
      <c r="E215" s="2"/>
      <c r="F215" s="2"/>
      <c r="G215" s="4"/>
      <c r="H215" s="1"/>
      <c r="I215" s="3"/>
      <c r="J215" s="4"/>
      <c r="K215" s="4"/>
      <c r="L215" s="4"/>
    </row>
    <row r="216" spans="4:12" x14ac:dyDescent="0.3">
      <c r="D216" s="15"/>
      <c r="E216" s="2"/>
      <c r="F216" s="2"/>
      <c r="G216" s="4"/>
      <c r="H216" s="1"/>
      <c r="I216" s="3"/>
      <c r="J216" s="4"/>
      <c r="K216" s="4"/>
      <c r="L216" s="4"/>
    </row>
    <row r="217" spans="4:12" x14ac:dyDescent="0.3">
      <c r="D217" s="15"/>
      <c r="E217" s="2"/>
      <c r="F217" s="2"/>
      <c r="G217" s="4"/>
      <c r="H217" s="1"/>
      <c r="I217" s="3"/>
      <c r="J217" s="4"/>
      <c r="K217" s="4"/>
      <c r="L217" s="4"/>
    </row>
    <row r="218" spans="4:12" x14ac:dyDescent="0.3">
      <c r="D218" s="15"/>
      <c r="E218" s="2"/>
      <c r="F218" s="2"/>
      <c r="G218" s="4"/>
      <c r="H218" s="1"/>
      <c r="I218" s="3"/>
      <c r="J218" s="4"/>
      <c r="K218" s="4"/>
      <c r="L218" s="4"/>
    </row>
    <row r="219" spans="4:12" x14ac:dyDescent="0.3">
      <c r="D219" s="15"/>
      <c r="E219" s="2"/>
      <c r="F219" s="2"/>
      <c r="G219" s="4"/>
      <c r="H219" s="1"/>
      <c r="I219" s="3"/>
      <c r="J219" s="4"/>
      <c r="K219" s="4"/>
      <c r="L219" s="4"/>
    </row>
    <row r="220" spans="4:12" x14ac:dyDescent="0.3">
      <c r="D220" s="15"/>
      <c r="E220" s="2"/>
      <c r="F220" s="2"/>
      <c r="G220" s="4"/>
      <c r="H220" s="1"/>
      <c r="I220" s="3"/>
      <c r="J220" s="4"/>
      <c r="K220" s="4"/>
      <c r="L220" s="4"/>
    </row>
    <row r="221" spans="4:12" x14ac:dyDescent="0.3">
      <c r="D221" s="15"/>
      <c r="E221" s="2"/>
      <c r="F221" s="2"/>
      <c r="G221" s="4"/>
      <c r="H221" s="1"/>
      <c r="I221" s="3"/>
      <c r="J221" s="4"/>
      <c r="K221" s="4"/>
      <c r="L221" s="4"/>
    </row>
    <row r="222" spans="4:12" x14ac:dyDescent="0.3">
      <c r="D222" s="15"/>
      <c r="E222" s="2"/>
      <c r="F222" s="2"/>
      <c r="G222" s="4"/>
      <c r="H222" s="1"/>
      <c r="I222" s="3"/>
      <c r="J222" s="4"/>
      <c r="K222" s="4"/>
      <c r="L222" s="4"/>
    </row>
    <row r="223" spans="4:12" x14ac:dyDescent="0.3">
      <c r="D223" s="15"/>
      <c r="E223" s="2"/>
      <c r="F223" s="2"/>
      <c r="G223" s="4"/>
      <c r="H223" s="1"/>
      <c r="I223" s="3"/>
    </row>
    <row r="224" spans="4:12" x14ac:dyDescent="0.3">
      <c r="D224" s="15"/>
      <c r="E224" s="2"/>
      <c r="F224" s="2"/>
      <c r="G224" s="4"/>
      <c r="H224" s="1"/>
      <c r="I224" s="3"/>
    </row>
    <row r="225" spans="4:9" x14ac:dyDescent="0.3">
      <c r="D225" s="15"/>
      <c r="E225" s="2"/>
      <c r="F225" s="2"/>
      <c r="G225" s="4"/>
      <c r="H225" s="1"/>
      <c r="I225" s="3"/>
    </row>
    <row r="226" spans="4:9" x14ac:dyDescent="0.3">
      <c r="D226" s="15"/>
      <c r="E226" s="2"/>
      <c r="F226" s="2"/>
      <c r="G226" s="4"/>
      <c r="H226" s="1"/>
      <c r="I226" s="3"/>
    </row>
    <row r="227" spans="4:9" x14ac:dyDescent="0.3">
      <c r="D227" s="15"/>
      <c r="E227" s="2"/>
      <c r="F227" s="2"/>
      <c r="G227" s="4"/>
      <c r="H227" s="1"/>
      <c r="I227" s="3"/>
    </row>
    <row r="228" spans="4:9" x14ac:dyDescent="0.3">
      <c r="D228" s="15"/>
      <c r="E228" s="2"/>
      <c r="F228" s="2"/>
      <c r="G228" s="4"/>
      <c r="H228" s="1"/>
      <c r="I228" s="3"/>
    </row>
    <row r="229" spans="4:9" x14ac:dyDescent="0.3">
      <c r="D229" s="15"/>
      <c r="E229" s="2"/>
      <c r="F229" s="2"/>
      <c r="G229" s="4"/>
      <c r="H229" s="1"/>
      <c r="I229" s="3"/>
    </row>
    <row r="230" spans="4:9" x14ac:dyDescent="0.3">
      <c r="D230" s="15"/>
      <c r="E230" s="2"/>
      <c r="F230" s="2"/>
      <c r="G230" s="4"/>
      <c r="H230" s="1"/>
      <c r="I230" s="3"/>
    </row>
    <row r="231" spans="4:9" x14ac:dyDescent="0.3">
      <c r="D231" s="15"/>
      <c r="E231" s="2"/>
      <c r="F231" s="2"/>
      <c r="G231" s="4"/>
      <c r="H231" s="1"/>
      <c r="I231" s="3"/>
    </row>
    <row r="232" spans="4:9" x14ac:dyDescent="0.3">
      <c r="D232" s="15"/>
      <c r="E232" s="2"/>
      <c r="F232" s="2"/>
      <c r="G232" s="4"/>
      <c r="H232" s="1"/>
      <c r="I232" s="3"/>
    </row>
    <row r="233" spans="4:9" x14ac:dyDescent="0.3">
      <c r="D233" s="15"/>
      <c r="E233" s="2"/>
      <c r="F233" s="2"/>
      <c r="G233" s="4"/>
      <c r="H233" s="1"/>
      <c r="I233" s="3"/>
    </row>
    <row r="234" spans="4:9" x14ac:dyDescent="0.3">
      <c r="D234" s="15"/>
      <c r="E234" s="2"/>
      <c r="F234" s="2"/>
      <c r="G234" s="4"/>
      <c r="H234" s="1"/>
      <c r="I234" s="3"/>
    </row>
    <row r="235" spans="4:9" x14ac:dyDescent="0.3">
      <c r="D235" s="15"/>
      <c r="E235" s="2"/>
      <c r="F235" s="2"/>
      <c r="G235" s="4"/>
      <c r="H235" s="1"/>
      <c r="I235" s="3"/>
    </row>
    <row r="236" spans="4:9" x14ac:dyDescent="0.3">
      <c r="D236" s="15"/>
      <c r="E236" s="2"/>
      <c r="F236" s="2"/>
      <c r="G236" s="4"/>
      <c r="H236" s="1"/>
      <c r="I236" s="3"/>
    </row>
    <row r="237" spans="4:9" x14ac:dyDescent="0.3">
      <c r="D237" s="15"/>
      <c r="E237" s="2"/>
      <c r="F237" s="2"/>
      <c r="G237" s="4"/>
      <c r="H237" s="1"/>
      <c r="I237" s="3"/>
    </row>
    <row r="238" spans="4:9" x14ac:dyDescent="0.3">
      <c r="D238" s="15"/>
      <c r="E238" s="2"/>
      <c r="F238" s="2"/>
      <c r="G238" s="4"/>
      <c r="H238" s="1"/>
      <c r="I238" s="3"/>
    </row>
    <row r="239" spans="4:9" x14ac:dyDescent="0.3">
      <c r="D239" s="15"/>
      <c r="E239" s="2"/>
      <c r="F239" s="2"/>
      <c r="G239" s="4"/>
      <c r="H239" s="1"/>
      <c r="I239" s="3"/>
    </row>
    <row r="240" spans="4:9" x14ac:dyDescent="0.3">
      <c r="D240" s="15"/>
      <c r="E240" s="2"/>
      <c r="F240" s="2"/>
      <c r="G240" s="4"/>
      <c r="H240" s="1"/>
      <c r="I240" s="3"/>
    </row>
    <row r="241" spans="4:9" x14ac:dyDescent="0.3">
      <c r="D241" s="15"/>
      <c r="E241" s="2"/>
      <c r="F241" s="2"/>
      <c r="G241" s="4"/>
      <c r="H241" s="1"/>
      <c r="I241" s="3"/>
    </row>
    <row r="242" spans="4:9" x14ac:dyDescent="0.3">
      <c r="D242" s="15"/>
      <c r="E242" s="2"/>
      <c r="F242" s="2"/>
      <c r="G242" s="4"/>
      <c r="H242" s="1"/>
      <c r="I242" s="3"/>
    </row>
    <row r="243" spans="4:9" x14ac:dyDescent="0.3">
      <c r="D243" s="15"/>
      <c r="E243" s="2"/>
      <c r="F243" s="2"/>
      <c r="G243" s="4"/>
      <c r="H243" s="1"/>
      <c r="I243" s="3"/>
    </row>
    <row r="244" spans="4:9" x14ac:dyDescent="0.3">
      <c r="D244" s="15"/>
      <c r="E244" s="2"/>
      <c r="F244" s="2"/>
      <c r="G244" s="4"/>
      <c r="H244" s="1"/>
      <c r="I244" s="3"/>
    </row>
    <row r="245" spans="4:9" x14ac:dyDescent="0.3">
      <c r="D245" s="15"/>
      <c r="E245" s="2"/>
      <c r="F245" s="2"/>
      <c r="G245" s="4"/>
      <c r="H245" s="1"/>
      <c r="I245" s="3"/>
    </row>
    <row r="246" spans="4:9" x14ac:dyDescent="0.3">
      <c r="D246" s="15"/>
      <c r="E246" s="2"/>
      <c r="F246" s="2"/>
      <c r="G246" s="4"/>
      <c r="H246" s="1"/>
      <c r="I246" s="3"/>
    </row>
    <row r="247" spans="4:9" x14ac:dyDescent="0.3">
      <c r="D247" s="15"/>
      <c r="E247" s="2"/>
      <c r="F247" s="2"/>
      <c r="G247" s="4"/>
      <c r="H247" s="1"/>
      <c r="I247" s="3"/>
    </row>
    <row r="248" spans="4:9" x14ac:dyDescent="0.3">
      <c r="D248" s="15"/>
      <c r="E248" s="2"/>
      <c r="F248" s="2"/>
      <c r="G248" s="4"/>
      <c r="H248" s="1"/>
      <c r="I248" s="3"/>
    </row>
    <row r="249" spans="4:9" x14ac:dyDescent="0.3">
      <c r="D249" s="15"/>
      <c r="E249" s="2"/>
      <c r="F249" s="2"/>
      <c r="G249" s="4"/>
      <c r="H249" s="1"/>
      <c r="I249" s="3"/>
    </row>
    <row r="250" spans="4:9" x14ac:dyDescent="0.3">
      <c r="D250" s="15"/>
      <c r="E250" s="2"/>
      <c r="F250" s="2"/>
      <c r="G250" s="4"/>
      <c r="H250" s="1"/>
      <c r="I250" s="3"/>
    </row>
    <row r="251" spans="4:9" x14ac:dyDescent="0.3">
      <c r="D251" s="15"/>
      <c r="E251" s="2"/>
      <c r="F251" s="2"/>
      <c r="G251" s="4"/>
      <c r="H251" s="1"/>
      <c r="I251" s="3"/>
    </row>
    <row r="252" spans="4:9" x14ac:dyDescent="0.3">
      <c r="D252" s="15"/>
      <c r="E252" s="2"/>
      <c r="F252" s="2"/>
      <c r="G252" s="4"/>
      <c r="H252" s="1"/>
      <c r="I252" s="3"/>
    </row>
    <row r="253" spans="4:9" x14ac:dyDescent="0.3">
      <c r="D253" s="15"/>
      <c r="E253" s="2"/>
      <c r="F253" s="2"/>
      <c r="G253" s="4"/>
      <c r="H253" s="1"/>
      <c r="I253" s="3"/>
    </row>
    <row r="254" spans="4:9" x14ac:dyDescent="0.3">
      <c r="D254" s="15"/>
      <c r="E254" s="2"/>
      <c r="F254" s="2"/>
      <c r="G254" s="4"/>
      <c r="H254" s="1"/>
      <c r="I254" s="3"/>
    </row>
    <row r="255" spans="4:9" x14ac:dyDescent="0.3">
      <c r="D255" s="15"/>
      <c r="E255" s="2"/>
      <c r="F255" s="2"/>
      <c r="G255" s="4"/>
      <c r="H255" s="1"/>
      <c r="I255" s="3"/>
    </row>
    <row r="256" spans="4:9" x14ac:dyDescent="0.3">
      <c r="D256" s="15"/>
      <c r="E256" s="2"/>
      <c r="F256" s="2"/>
      <c r="G256" s="4"/>
      <c r="H256" s="1"/>
      <c r="I256" s="3"/>
    </row>
    <row r="257" spans="4:9" x14ac:dyDescent="0.3">
      <c r="D257" s="15"/>
      <c r="E257" s="2"/>
      <c r="F257" s="2"/>
      <c r="G257" s="4"/>
      <c r="H257" s="1"/>
      <c r="I257" s="3"/>
    </row>
    <row r="258" spans="4:9" x14ac:dyDescent="0.3">
      <c r="D258" s="15"/>
      <c r="E258" s="2"/>
      <c r="F258" s="2"/>
      <c r="G258" s="4"/>
      <c r="H258" s="1"/>
      <c r="I258" s="3"/>
    </row>
    <row r="259" spans="4:9" x14ac:dyDescent="0.3">
      <c r="D259" s="15"/>
      <c r="E259" s="2"/>
      <c r="F259" s="2"/>
      <c r="G259" s="4"/>
      <c r="H259" s="1"/>
      <c r="I259" s="3"/>
    </row>
    <row r="260" spans="4:9" x14ac:dyDescent="0.3">
      <c r="D260" s="15"/>
      <c r="E260" s="2"/>
      <c r="F260" s="2"/>
      <c r="G260" s="4"/>
      <c r="H260" s="1"/>
      <c r="I260" s="3"/>
    </row>
    <row r="261" spans="4:9" x14ac:dyDescent="0.3">
      <c r="D261" s="15"/>
      <c r="E261" s="2"/>
      <c r="F261" s="2"/>
      <c r="G261" s="4"/>
      <c r="H261" s="1"/>
      <c r="I261" s="3"/>
    </row>
    <row r="262" spans="4:9" x14ac:dyDescent="0.3">
      <c r="D262" s="15"/>
      <c r="E262" s="2"/>
      <c r="F262" s="2"/>
      <c r="G262" s="4"/>
      <c r="H262" s="1"/>
      <c r="I262" s="3"/>
    </row>
    <row r="263" spans="4:9" x14ac:dyDescent="0.3">
      <c r="D263" s="15"/>
      <c r="E263" s="2"/>
      <c r="F263" s="2"/>
      <c r="G263" s="4"/>
      <c r="H263" s="1"/>
      <c r="I263" s="3"/>
    </row>
    <row r="264" spans="4:9" x14ac:dyDescent="0.3">
      <c r="D264" s="15"/>
      <c r="E264" s="2"/>
      <c r="F264" s="2"/>
      <c r="G264" s="4"/>
      <c r="H264" s="1"/>
      <c r="I264" s="3"/>
    </row>
    <row r="265" spans="4:9" x14ac:dyDescent="0.3">
      <c r="D265" s="15"/>
      <c r="E265" s="2"/>
      <c r="F265" s="2"/>
      <c r="G265" s="4"/>
      <c r="H265" s="1"/>
      <c r="I265" s="3"/>
    </row>
    <row r="266" spans="4:9" x14ac:dyDescent="0.3">
      <c r="D266" s="15"/>
      <c r="E266" s="2"/>
      <c r="F266" s="2"/>
      <c r="G266" s="4"/>
      <c r="H266" s="1"/>
      <c r="I266" s="3"/>
    </row>
    <row r="267" spans="4:9" x14ac:dyDescent="0.3">
      <c r="D267" s="15"/>
      <c r="E267" s="2"/>
      <c r="F267" s="2"/>
      <c r="G267" s="4"/>
      <c r="H267" s="1"/>
      <c r="I267" s="3"/>
    </row>
    <row r="268" spans="4:9" x14ac:dyDescent="0.3">
      <c r="D268" s="15"/>
      <c r="E268" s="2"/>
      <c r="F268" s="2"/>
      <c r="G268" s="4"/>
      <c r="H268" s="1"/>
      <c r="I268" s="3"/>
    </row>
    <row r="269" spans="4:9" x14ac:dyDescent="0.3">
      <c r="D269" s="15"/>
      <c r="E269" s="2"/>
      <c r="F269" s="2"/>
      <c r="G269" s="4"/>
      <c r="H269" s="1"/>
      <c r="I269" s="3"/>
    </row>
    <row r="270" spans="4:9" x14ac:dyDescent="0.3">
      <c r="D270" s="15"/>
      <c r="E270" s="2"/>
      <c r="F270" s="2"/>
      <c r="G270" s="4"/>
      <c r="H270" s="1"/>
      <c r="I270" s="3"/>
    </row>
    <row r="271" spans="4:9" x14ac:dyDescent="0.3">
      <c r="D271" s="15"/>
      <c r="E271" s="2"/>
      <c r="F271" s="2"/>
      <c r="G271" s="4"/>
      <c r="H271" s="1"/>
      <c r="I271" s="3"/>
    </row>
    <row r="272" spans="4:9" x14ac:dyDescent="0.3">
      <c r="D272" s="15"/>
      <c r="E272" s="2"/>
      <c r="F272" s="2"/>
      <c r="G272" s="4"/>
      <c r="H272" s="1"/>
      <c r="I272" s="3"/>
    </row>
    <row r="273" spans="4:9" x14ac:dyDescent="0.3">
      <c r="D273" s="15"/>
      <c r="E273" s="2"/>
      <c r="F273" s="2"/>
      <c r="G273" s="4"/>
      <c r="H273" s="1"/>
      <c r="I273" s="3"/>
    </row>
    <row r="274" spans="4:9" x14ac:dyDescent="0.3">
      <c r="D274" s="15"/>
      <c r="E274" s="2"/>
      <c r="F274" s="2"/>
      <c r="G274" s="4"/>
      <c r="H274" s="1"/>
      <c r="I274" s="3"/>
    </row>
    <row r="275" spans="4:9" x14ac:dyDescent="0.3">
      <c r="D275" s="15"/>
      <c r="E275" s="2"/>
      <c r="F275" s="2"/>
      <c r="G275" s="4"/>
      <c r="H275" s="1"/>
      <c r="I275" s="3"/>
    </row>
    <row r="276" spans="4:9" x14ac:dyDescent="0.3">
      <c r="D276" s="15"/>
      <c r="E276" s="2"/>
      <c r="F276" s="2"/>
      <c r="G276" s="4"/>
      <c r="H276" s="1"/>
      <c r="I276" s="3"/>
    </row>
    <row r="277" spans="4:9" x14ac:dyDescent="0.3">
      <c r="D277" s="15"/>
      <c r="E277" s="2"/>
      <c r="F277" s="2"/>
      <c r="G277" s="4"/>
      <c r="H277" s="1"/>
      <c r="I277" s="3"/>
    </row>
    <row r="278" spans="4:9" x14ac:dyDescent="0.3">
      <c r="D278" s="15"/>
      <c r="E278" s="2"/>
      <c r="F278" s="2"/>
      <c r="G278" s="4"/>
      <c r="H278" s="1"/>
      <c r="I278" s="3"/>
    </row>
    <row r="279" spans="4:9" x14ac:dyDescent="0.3">
      <c r="D279" s="15"/>
      <c r="E279" s="2"/>
      <c r="F279" s="2"/>
      <c r="G279" s="4"/>
      <c r="H279" s="1"/>
      <c r="I279" s="3"/>
    </row>
    <row r="280" spans="4:9" x14ac:dyDescent="0.3">
      <c r="D280" s="15"/>
      <c r="E280" s="2"/>
      <c r="F280" s="2"/>
      <c r="G280" s="4"/>
      <c r="H280" s="1"/>
      <c r="I280" s="3"/>
    </row>
    <row r="281" spans="4:9" x14ac:dyDescent="0.3">
      <c r="D281" s="15"/>
      <c r="E281" s="2"/>
      <c r="F281" s="2"/>
      <c r="G281" s="4"/>
      <c r="H281" s="1"/>
      <c r="I281" s="3"/>
    </row>
    <row r="282" spans="4:9" x14ac:dyDescent="0.3">
      <c r="D282" s="15"/>
      <c r="E282" s="2"/>
      <c r="F282" s="2"/>
      <c r="G282" s="4"/>
      <c r="H282" s="1"/>
      <c r="I282" s="3"/>
    </row>
    <row r="283" spans="4:9" x14ac:dyDescent="0.3">
      <c r="D283" s="15"/>
      <c r="E283" s="2"/>
      <c r="F283" s="2"/>
      <c r="G283" s="4"/>
      <c r="H283" s="1"/>
      <c r="I283" s="3"/>
    </row>
    <row r="284" spans="4:9" x14ac:dyDescent="0.3">
      <c r="D284" s="15"/>
      <c r="E284" s="2"/>
      <c r="F284" s="2"/>
      <c r="G284" s="4"/>
      <c r="H284" s="1"/>
      <c r="I284" s="3"/>
    </row>
    <row r="285" spans="4:9" x14ac:dyDescent="0.3">
      <c r="D285" s="15"/>
      <c r="E285" s="2"/>
      <c r="F285" s="2"/>
      <c r="G285" s="4"/>
      <c r="H285" s="1"/>
      <c r="I285" s="3"/>
    </row>
    <row r="286" spans="4:9" x14ac:dyDescent="0.3">
      <c r="D286" s="15"/>
      <c r="E286" s="2"/>
      <c r="F286" s="2"/>
      <c r="G286" s="4"/>
      <c r="H286" s="1"/>
      <c r="I286" s="3"/>
    </row>
    <row r="287" spans="4:9" x14ac:dyDescent="0.3">
      <c r="D287" s="15"/>
      <c r="E287" s="2"/>
      <c r="F287" s="2"/>
      <c r="G287" s="4"/>
      <c r="H287" s="1"/>
      <c r="I287" s="3"/>
    </row>
    <row r="288" spans="4:9" x14ac:dyDescent="0.3">
      <c r="D288" s="15"/>
      <c r="E288" s="2"/>
      <c r="F288" s="2"/>
      <c r="G288" s="4"/>
      <c r="H288" s="1"/>
      <c r="I288" s="3"/>
    </row>
    <row r="289" spans="4:9" x14ac:dyDescent="0.3">
      <c r="D289" s="15"/>
      <c r="E289" s="2"/>
      <c r="F289" s="2"/>
      <c r="G289" s="4"/>
      <c r="H289" s="1"/>
      <c r="I289" s="3"/>
    </row>
    <row r="290" spans="4:9" x14ac:dyDescent="0.3">
      <c r="D290" s="15"/>
      <c r="E290" s="2"/>
      <c r="F290" s="2"/>
      <c r="G290" s="4"/>
      <c r="H290" s="1"/>
      <c r="I290" s="3"/>
    </row>
    <row r="291" spans="4:9" x14ac:dyDescent="0.3">
      <c r="D291" s="15"/>
      <c r="E291" s="2"/>
      <c r="F291" s="2"/>
      <c r="G291" s="4"/>
      <c r="H291" s="1"/>
      <c r="I291" s="3"/>
    </row>
    <row r="292" spans="4:9" x14ac:dyDescent="0.3">
      <c r="D292" s="15"/>
      <c r="E292" s="2"/>
      <c r="F292" s="2"/>
      <c r="G292" s="4"/>
      <c r="H292" s="1"/>
      <c r="I292" s="3"/>
    </row>
    <row r="293" spans="4:9" x14ac:dyDescent="0.3">
      <c r="D293" s="15"/>
      <c r="E293" s="2"/>
      <c r="F293" s="2"/>
      <c r="G293" s="4"/>
      <c r="H293" s="1"/>
      <c r="I293" s="3"/>
    </row>
    <row r="294" spans="4:9" x14ac:dyDescent="0.3">
      <c r="D294" s="15"/>
      <c r="E294" s="2"/>
      <c r="F294" s="2"/>
      <c r="G294" s="4"/>
      <c r="H294" s="1"/>
      <c r="I294" s="3"/>
    </row>
    <row r="295" spans="4:9" x14ac:dyDescent="0.3">
      <c r="D295" s="15"/>
      <c r="E295" s="2"/>
      <c r="F295" s="2"/>
      <c r="G295" s="4"/>
      <c r="H295" s="1"/>
      <c r="I295" s="3"/>
    </row>
    <row r="296" spans="4:9" x14ac:dyDescent="0.3">
      <c r="D296" s="15"/>
      <c r="E296" s="2"/>
      <c r="F296" s="2"/>
      <c r="G296" s="4"/>
      <c r="H296" s="1"/>
      <c r="I296" s="3"/>
    </row>
    <row r="297" spans="4:9" x14ac:dyDescent="0.3">
      <c r="D297" s="15"/>
      <c r="E297" s="2"/>
      <c r="F297" s="2"/>
      <c r="G297" s="4"/>
      <c r="H297" s="1"/>
      <c r="I297" s="3"/>
    </row>
    <row r="298" spans="4:9" x14ac:dyDescent="0.3">
      <c r="D298" s="15"/>
      <c r="E298" s="2"/>
      <c r="F298" s="2"/>
      <c r="G298" s="4"/>
      <c r="H298" s="1"/>
      <c r="I298" s="3"/>
    </row>
    <row r="299" spans="4:9" x14ac:dyDescent="0.3">
      <c r="D299" s="15"/>
      <c r="E299" s="2"/>
      <c r="F299" s="2"/>
      <c r="G299" s="4"/>
      <c r="H299" s="1"/>
      <c r="I299" s="3"/>
    </row>
    <row r="300" spans="4:9" x14ac:dyDescent="0.3">
      <c r="D300" s="15"/>
      <c r="E300" s="2"/>
      <c r="F300" s="2"/>
      <c r="G300" s="4"/>
      <c r="H300" s="1"/>
      <c r="I300" s="3"/>
    </row>
    <row r="301" spans="4:9" x14ac:dyDescent="0.3">
      <c r="D301" s="15"/>
      <c r="E301" s="2"/>
      <c r="F301" s="2"/>
      <c r="G301" s="4"/>
      <c r="H301" s="1"/>
      <c r="I301" s="3"/>
    </row>
    <row r="302" spans="4:9" x14ac:dyDescent="0.3">
      <c r="D302" s="15"/>
      <c r="E302" s="2"/>
      <c r="F302" s="2"/>
      <c r="G302" s="4"/>
      <c r="H302" s="1"/>
      <c r="I302" s="3"/>
    </row>
    <row r="303" spans="4:9" x14ac:dyDescent="0.3">
      <c r="D303" s="15"/>
      <c r="E303" s="2"/>
      <c r="F303" s="2"/>
      <c r="G303" s="4"/>
      <c r="H303" s="1"/>
      <c r="I303" s="3"/>
    </row>
    <row r="304" spans="4:9" x14ac:dyDescent="0.3">
      <c r="D304" s="15"/>
      <c r="E304" s="2"/>
      <c r="F304" s="2"/>
      <c r="G304" s="4"/>
      <c r="H304" s="1"/>
      <c r="I304" s="3"/>
    </row>
    <row r="305" spans="4:9" x14ac:dyDescent="0.3">
      <c r="D305" s="15"/>
      <c r="E305" s="2"/>
      <c r="F305" s="2"/>
      <c r="G305" s="4"/>
      <c r="H305" s="1"/>
      <c r="I305" s="3"/>
    </row>
    <row r="306" spans="4:9" x14ac:dyDescent="0.3">
      <c r="D306" s="15"/>
      <c r="E306" s="2"/>
      <c r="F306" s="2"/>
      <c r="G306" s="4"/>
      <c r="H306" s="1"/>
      <c r="I306" s="3"/>
    </row>
    <row r="307" spans="4:9" x14ac:dyDescent="0.3">
      <c r="D307" s="15"/>
      <c r="E307" s="2"/>
      <c r="F307" s="2"/>
      <c r="G307" s="4"/>
      <c r="H307" s="1"/>
      <c r="I307" s="3"/>
    </row>
    <row r="308" spans="4:9" x14ac:dyDescent="0.3">
      <c r="D308" s="15"/>
      <c r="E308" s="2"/>
      <c r="F308" s="2"/>
      <c r="G308" s="4"/>
      <c r="H308" s="1"/>
      <c r="I308" s="3"/>
    </row>
    <row r="309" spans="4:9" x14ac:dyDescent="0.3">
      <c r="D309" s="15"/>
      <c r="E309" s="2"/>
      <c r="F309" s="2"/>
      <c r="G309" s="4"/>
      <c r="H309" s="1"/>
      <c r="I309" s="3"/>
    </row>
    <row r="310" spans="4:9" x14ac:dyDescent="0.3">
      <c r="D310" s="15"/>
      <c r="E310" s="2"/>
      <c r="F310" s="2"/>
      <c r="G310" s="4"/>
      <c r="H310" s="1"/>
      <c r="I310" s="3"/>
    </row>
    <row r="311" spans="4:9" x14ac:dyDescent="0.3">
      <c r="D311" s="15"/>
      <c r="E311" s="2"/>
      <c r="F311" s="2"/>
      <c r="G311" s="4"/>
      <c r="H311" s="1"/>
      <c r="I311" s="3"/>
    </row>
    <row r="312" spans="4:9" x14ac:dyDescent="0.3">
      <c r="D312" s="15"/>
      <c r="E312" s="2"/>
      <c r="F312" s="2"/>
      <c r="G312" s="4"/>
      <c r="H312" s="1"/>
      <c r="I312" s="3"/>
    </row>
    <row r="313" spans="4:9" x14ac:dyDescent="0.3">
      <c r="D313" s="15"/>
      <c r="E313" s="2"/>
      <c r="F313" s="2"/>
      <c r="G313" s="4"/>
      <c r="H313" s="1"/>
      <c r="I313" s="3"/>
    </row>
    <row r="314" spans="4:9" x14ac:dyDescent="0.3">
      <c r="D314" s="15"/>
      <c r="E314" s="2"/>
      <c r="F314" s="2"/>
      <c r="G314" s="4"/>
      <c r="H314" s="1"/>
      <c r="I314" s="3"/>
    </row>
    <row r="315" spans="4:9" x14ac:dyDescent="0.3">
      <c r="D315" s="15"/>
      <c r="E315" s="2"/>
      <c r="F315" s="2"/>
      <c r="G315" s="4"/>
      <c r="H315" s="1"/>
      <c r="I315" s="3"/>
    </row>
    <row r="316" spans="4:9" x14ac:dyDescent="0.3">
      <c r="D316" s="15"/>
      <c r="E316" s="2"/>
      <c r="F316" s="2"/>
      <c r="G316" s="4"/>
      <c r="H316" s="1"/>
      <c r="I316" s="3"/>
    </row>
    <row r="317" spans="4:9" x14ac:dyDescent="0.3">
      <c r="D317" s="15"/>
      <c r="E317" s="2"/>
      <c r="F317" s="2"/>
      <c r="G317" s="4"/>
      <c r="H317" s="1"/>
      <c r="I317" s="3"/>
    </row>
    <row r="318" spans="4:9" x14ac:dyDescent="0.3">
      <c r="D318" s="15"/>
      <c r="E318" s="2"/>
      <c r="F318" s="2"/>
      <c r="G318" s="4"/>
      <c r="H318" s="1"/>
      <c r="I318" s="3"/>
    </row>
    <row r="319" spans="4:9" x14ac:dyDescent="0.3">
      <c r="D319" s="15"/>
      <c r="E319" s="2"/>
      <c r="F319" s="2"/>
      <c r="G319" s="4"/>
      <c r="H319" s="1"/>
      <c r="I319" s="3"/>
    </row>
    <row r="320" spans="4:9" x14ac:dyDescent="0.3">
      <c r="D320" s="15"/>
      <c r="E320" s="2"/>
      <c r="F320" s="2"/>
      <c r="G320" s="4"/>
      <c r="H320" s="1"/>
      <c r="I320" s="3"/>
    </row>
    <row r="321" spans="4:9" x14ac:dyDescent="0.3">
      <c r="D321" s="15"/>
      <c r="E321" s="2"/>
      <c r="F321" s="2"/>
      <c r="G321" s="4"/>
      <c r="H321" s="1"/>
      <c r="I321" s="3"/>
    </row>
    <row r="322" spans="4:9" x14ac:dyDescent="0.3">
      <c r="D322" s="15"/>
      <c r="E322" s="2"/>
      <c r="F322" s="2"/>
      <c r="G322" s="4"/>
      <c r="H322" s="1"/>
      <c r="I322" s="3"/>
    </row>
    <row r="323" spans="4:9" x14ac:dyDescent="0.3">
      <c r="D323" s="15"/>
      <c r="E323" s="2"/>
      <c r="F323" s="2"/>
      <c r="G323" s="4"/>
      <c r="H323" s="1"/>
      <c r="I323" s="3"/>
    </row>
    <row r="324" spans="4:9" x14ac:dyDescent="0.3">
      <c r="D324" s="15"/>
      <c r="E324" s="2"/>
      <c r="F324" s="2"/>
      <c r="G324" s="4"/>
      <c r="H324" s="1"/>
      <c r="I324" s="3"/>
    </row>
    <row r="325" spans="4:9" x14ac:dyDescent="0.3">
      <c r="D325" s="15"/>
      <c r="E325" s="2"/>
      <c r="F325" s="2"/>
      <c r="G325" s="4"/>
      <c r="H325" s="1"/>
      <c r="I325" s="3"/>
    </row>
    <row r="326" spans="4:9" x14ac:dyDescent="0.3">
      <c r="D326" s="15"/>
      <c r="E326" s="2"/>
      <c r="F326" s="2"/>
      <c r="G326" s="4"/>
      <c r="H326" s="1"/>
      <c r="I326" s="3"/>
    </row>
    <row r="327" spans="4:9" x14ac:dyDescent="0.3">
      <c r="D327" s="15"/>
      <c r="E327" s="2"/>
      <c r="F327" s="2"/>
      <c r="G327" s="4"/>
      <c r="H327" s="1"/>
      <c r="I327" s="3"/>
    </row>
    <row r="328" spans="4:9" x14ac:dyDescent="0.3">
      <c r="D328" s="15"/>
      <c r="E328" s="2"/>
      <c r="F328" s="2"/>
      <c r="G328" s="4"/>
      <c r="H328" s="1"/>
      <c r="I328" s="3"/>
    </row>
    <row r="329" spans="4:9" x14ac:dyDescent="0.3">
      <c r="D329" s="15"/>
      <c r="E329" s="2"/>
      <c r="F329" s="2"/>
      <c r="G329" s="4"/>
      <c r="H329" s="1"/>
      <c r="I329" s="3"/>
    </row>
    <row r="330" spans="4:9" x14ac:dyDescent="0.3">
      <c r="D330" s="15"/>
      <c r="E330" s="2"/>
      <c r="F330" s="2"/>
      <c r="G330" s="4"/>
      <c r="H330" s="1"/>
      <c r="I330" s="3"/>
    </row>
    <row r="331" spans="4:9" x14ac:dyDescent="0.3">
      <c r="D331" s="15"/>
      <c r="E331" s="2"/>
      <c r="F331" s="2"/>
      <c r="G331" s="4"/>
      <c r="H331" s="1"/>
      <c r="I331" s="3"/>
    </row>
    <row r="332" spans="4:9" x14ac:dyDescent="0.3">
      <c r="D332" s="15"/>
      <c r="E332" s="2"/>
      <c r="F332" s="2"/>
      <c r="G332" s="4"/>
      <c r="H332" s="1"/>
      <c r="I332" s="3"/>
    </row>
    <row r="333" spans="4:9" x14ac:dyDescent="0.3">
      <c r="D333" s="15"/>
      <c r="E333" s="2"/>
      <c r="F333" s="2"/>
      <c r="G333" s="4"/>
      <c r="H333" s="1"/>
      <c r="I333" s="3"/>
    </row>
    <row r="334" spans="4:9" x14ac:dyDescent="0.3">
      <c r="D334" s="15"/>
      <c r="E334" s="2"/>
      <c r="F334" s="2"/>
      <c r="G334" s="4"/>
      <c r="H334" s="1"/>
      <c r="I334" s="3"/>
    </row>
    <row r="335" spans="4:9" x14ac:dyDescent="0.3">
      <c r="D335" s="15"/>
      <c r="E335" s="2"/>
      <c r="F335" s="2"/>
      <c r="G335" s="4"/>
      <c r="H335" s="1"/>
      <c r="I335" s="3"/>
    </row>
    <row r="336" spans="4:9" x14ac:dyDescent="0.3">
      <c r="D336" s="15"/>
      <c r="E336" s="2"/>
      <c r="F336" s="2"/>
      <c r="G336" s="4"/>
      <c r="H336" s="1"/>
      <c r="I336" s="3"/>
    </row>
    <row r="337" spans="4:9" x14ac:dyDescent="0.3">
      <c r="D337" s="15"/>
      <c r="E337" s="2"/>
      <c r="F337" s="2"/>
      <c r="G337" s="4"/>
      <c r="H337" s="1"/>
      <c r="I337" s="3"/>
    </row>
    <row r="338" spans="4:9" x14ac:dyDescent="0.3">
      <c r="D338" s="15"/>
      <c r="E338" s="2"/>
      <c r="F338" s="2"/>
      <c r="G338" s="4"/>
      <c r="H338" s="1"/>
      <c r="I338" s="3"/>
    </row>
    <row r="339" spans="4:9" x14ac:dyDescent="0.3">
      <c r="D339" s="15"/>
      <c r="E339" s="2"/>
      <c r="F339" s="2"/>
      <c r="G339" s="4"/>
      <c r="H339" s="1"/>
      <c r="I339" s="3"/>
    </row>
    <row r="340" spans="4:9" x14ac:dyDescent="0.3">
      <c r="D340" s="15"/>
      <c r="E340" s="2"/>
      <c r="F340" s="2"/>
      <c r="G340" s="4"/>
      <c r="H340" s="1"/>
      <c r="I340" s="3"/>
    </row>
    <row r="341" spans="4:9" x14ac:dyDescent="0.3">
      <c r="D341" s="15"/>
      <c r="E341" s="2"/>
      <c r="F341" s="2"/>
      <c r="G341" s="4"/>
      <c r="H341" s="1"/>
      <c r="I341" s="3"/>
    </row>
    <row r="342" spans="4:9" x14ac:dyDescent="0.3">
      <c r="D342" s="15"/>
      <c r="E342" s="2"/>
      <c r="F342" s="2"/>
      <c r="G342" s="4"/>
      <c r="H342" s="1"/>
      <c r="I342" s="3"/>
    </row>
    <row r="343" spans="4:9" x14ac:dyDescent="0.3">
      <c r="D343" s="15"/>
      <c r="E343" s="2"/>
      <c r="F343" s="2"/>
      <c r="G343" s="4"/>
      <c r="H343" s="1"/>
      <c r="I343" s="3"/>
    </row>
    <row r="344" spans="4:9" x14ac:dyDescent="0.3">
      <c r="D344" s="15"/>
      <c r="E344" s="2"/>
      <c r="F344" s="2"/>
      <c r="G344" s="4"/>
      <c r="H344" s="1"/>
      <c r="I344" s="3"/>
    </row>
    <row r="345" spans="4:9" x14ac:dyDescent="0.3">
      <c r="D345" s="15"/>
      <c r="E345" s="2"/>
      <c r="F345" s="2"/>
      <c r="G345" s="4"/>
      <c r="H345" s="1"/>
      <c r="I345" s="3"/>
    </row>
    <row r="346" spans="4:9" x14ac:dyDescent="0.3">
      <c r="D346" s="15"/>
      <c r="E346" s="2"/>
      <c r="F346" s="2"/>
      <c r="G346" s="4"/>
      <c r="H346" s="1"/>
      <c r="I346" s="3"/>
    </row>
    <row r="347" spans="4:9" x14ac:dyDescent="0.3">
      <c r="D347" s="15"/>
      <c r="E347" s="2"/>
      <c r="F347" s="2"/>
      <c r="G347" s="4"/>
      <c r="H347" s="1"/>
      <c r="I347" s="3"/>
    </row>
    <row r="348" spans="4:9" x14ac:dyDescent="0.3">
      <c r="D348" s="15"/>
      <c r="E348" s="2"/>
      <c r="F348" s="2"/>
      <c r="G348" s="4"/>
      <c r="H348" s="1"/>
      <c r="I348" s="3"/>
    </row>
    <row r="349" spans="4:9" x14ac:dyDescent="0.3">
      <c r="D349" s="15"/>
      <c r="E349" s="2"/>
      <c r="F349" s="2"/>
      <c r="G349" s="4"/>
      <c r="H349" s="1"/>
      <c r="I349" s="3"/>
    </row>
    <row r="350" spans="4:9" x14ac:dyDescent="0.3">
      <c r="D350" s="15"/>
      <c r="E350" s="2"/>
      <c r="F350" s="2"/>
      <c r="G350" s="4"/>
      <c r="H350" s="1"/>
      <c r="I350" s="3"/>
    </row>
    <row r="351" spans="4:9" x14ac:dyDescent="0.3">
      <c r="D351" s="15"/>
      <c r="E351" s="2"/>
      <c r="F351" s="2"/>
      <c r="G351" s="4"/>
      <c r="H351" s="1"/>
      <c r="I351" s="3"/>
    </row>
    <row r="352" spans="4:9" x14ac:dyDescent="0.3">
      <c r="D352" s="15"/>
      <c r="E352" s="2"/>
      <c r="F352" s="2"/>
      <c r="G352" s="4"/>
      <c r="H352" s="1"/>
      <c r="I352" s="3"/>
    </row>
    <row r="353" spans="4:9" x14ac:dyDescent="0.3">
      <c r="D353" s="15"/>
      <c r="E353" s="2"/>
      <c r="F353" s="2"/>
      <c r="G353" s="4"/>
      <c r="H353" s="1"/>
      <c r="I353" s="3"/>
    </row>
    <row r="354" spans="4:9" x14ac:dyDescent="0.3">
      <c r="D354" s="15"/>
      <c r="E354" s="2"/>
      <c r="F354" s="2"/>
      <c r="G354" s="4"/>
      <c r="H354" s="1"/>
      <c r="I354" s="3"/>
    </row>
    <row r="355" spans="4:9" x14ac:dyDescent="0.3">
      <c r="D355" s="15"/>
      <c r="E355" s="2"/>
      <c r="F355" s="2"/>
      <c r="G355" s="4"/>
      <c r="H355" s="1"/>
      <c r="I355" s="3"/>
    </row>
    <row r="356" spans="4:9" x14ac:dyDescent="0.3">
      <c r="D356" s="15"/>
      <c r="E356" s="2"/>
      <c r="F356" s="2"/>
      <c r="G356" s="4"/>
      <c r="H356" s="1"/>
      <c r="I356" s="3"/>
    </row>
    <row r="357" spans="4:9" x14ac:dyDescent="0.3">
      <c r="D357" s="15"/>
      <c r="E357" s="2"/>
      <c r="F357" s="2"/>
      <c r="G357" s="4"/>
      <c r="H357" s="1"/>
      <c r="I357" s="3"/>
    </row>
    <row r="358" spans="4:9" x14ac:dyDescent="0.3">
      <c r="D358" s="15"/>
      <c r="E358" s="2"/>
      <c r="F358" s="2"/>
      <c r="G358" s="4"/>
      <c r="H358" s="1"/>
      <c r="I358" s="3"/>
    </row>
    <row r="359" spans="4:9" x14ac:dyDescent="0.3">
      <c r="D359" s="15"/>
      <c r="E359" s="2"/>
      <c r="F359" s="2"/>
      <c r="G359" s="4"/>
      <c r="H359" s="1"/>
      <c r="I359" s="3"/>
    </row>
    <row r="360" spans="4:9" x14ac:dyDescent="0.3">
      <c r="D360" s="15"/>
      <c r="E360" s="2"/>
      <c r="F360" s="2"/>
      <c r="G360" s="4"/>
      <c r="H360" s="1"/>
      <c r="I360" s="3"/>
    </row>
    <row r="361" spans="4:9" x14ac:dyDescent="0.3">
      <c r="D361" s="15"/>
      <c r="E361" s="2"/>
      <c r="F361" s="2"/>
      <c r="G361" s="4"/>
      <c r="H361" s="1"/>
      <c r="I361" s="3"/>
    </row>
    <row r="362" spans="4:9" x14ac:dyDescent="0.3">
      <c r="D362" s="15"/>
      <c r="E362" s="2"/>
      <c r="F362" s="2"/>
      <c r="G362" s="4"/>
      <c r="H362" s="1"/>
      <c r="I362" s="3"/>
    </row>
    <row r="363" spans="4:9" x14ac:dyDescent="0.3">
      <c r="D363" s="15"/>
      <c r="E363" s="2"/>
      <c r="F363" s="2"/>
      <c r="G363" s="4"/>
      <c r="H363" s="1"/>
      <c r="I363" s="3"/>
    </row>
    <row r="364" spans="4:9" x14ac:dyDescent="0.3">
      <c r="D364" s="15"/>
      <c r="E364" s="2"/>
      <c r="F364" s="2"/>
      <c r="G364" s="4"/>
      <c r="H364" s="1"/>
      <c r="I364" s="3"/>
    </row>
    <row r="365" spans="4:9" x14ac:dyDescent="0.3">
      <c r="D365" s="15"/>
      <c r="E365" s="2"/>
      <c r="F365" s="2"/>
      <c r="G365" s="4"/>
      <c r="H365" s="1"/>
      <c r="I365" s="3"/>
    </row>
    <row r="366" spans="4:9" x14ac:dyDescent="0.3">
      <c r="D366" s="15"/>
      <c r="E366" s="2"/>
      <c r="F366" s="2"/>
      <c r="G366" s="4"/>
      <c r="H366" s="1"/>
      <c r="I366" s="3"/>
    </row>
    <row r="367" spans="4:9" x14ac:dyDescent="0.3">
      <c r="D367" s="15"/>
      <c r="E367" s="2"/>
      <c r="F367" s="2"/>
      <c r="G367" s="4"/>
      <c r="H367" s="1"/>
      <c r="I367" s="3"/>
    </row>
    <row r="368" spans="4:9" x14ac:dyDescent="0.3">
      <c r="D368" s="15"/>
      <c r="E368" s="2"/>
      <c r="F368" s="2"/>
      <c r="G368" s="4"/>
      <c r="H368" s="1"/>
      <c r="I368" s="3"/>
    </row>
    <row r="369" spans="4:9" x14ac:dyDescent="0.3">
      <c r="D369" s="15"/>
      <c r="E369" s="2"/>
      <c r="F369" s="2"/>
      <c r="G369" s="4"/>
      <c r="H369" s="1"/>
      <c r="I369" s="3"/>
    </row>
    <row r="370" spans="4:9" x14ac:dyDescent="0.3">
      <c r="D370" s="15"/>
      <c r="E370" s="2"/>
      <c r="F370" s="2"/>
      <c r="G370" s="4"/>
      <c r="H370" s="1"/>
      <c r="I370" s="3"/>
    </row>
    <row r="371" spans="4:9" x14ac:dyDescent="0.3">
      <c r="D371" s="15"/>
      <c r="E371" s="2"/>
      <c r="F371" s="2"/>
      <c r="G371" s="4"/>
      <c r="H371" s="1"/>
      <c r="I371" s="3"/>
    </row>
    <row r="372" spans="4:9" x14ac:dyDescent="0.3">
      <c r="D372" s="15"/>
      <c r="E372" s="2"/>
      <c r="F372" s="2"/>
      <c r="G372" s="4"/>
      <c r="H372" s="1"/>
      <c r="I372" s="3"/>
    </row>
    <row r="373" spans="4:9" x14ac:dyDescent="0.3">
      <c r="D373" s="15"/>
      <c r="E373" s="2"/>
      <c r="F373" s="2"/>
      <c r="G373" s="4"/>
      <c r="H373" s="1"/>
      <c r="I373" s="3"/>
    </row>
    <row r="374" spans="4:9" x14ac:dyDescent="0.3">
      <c r="D374" s="15"/>
      <c r="E374" s="2"/>
      <c r="F374" s="2"/>
      <c r="G374" s="4"/>
      <c r="H374" s="1"/>
      <c r="I374" s="3"/>
    </row>
    <row r="375" spans="4:9" x14ac:dyDescent="0.3">
      <c r="D375" s="15"/>
      <c r="E375" s="2"/>
      <c r="F375" s="2"/>
      <c r="G375" s="4"/>
      <c r="H375" s="1"/>
      <c r="I375" s="3"/>
    </row>
    <row r="376" spans="4:9" x14ac:dyDescent="0.3">
      <c r="D376" s="15"/>
      <c r="E376" s="2"/>
      <c r="F376" s="2"/>
      <c r="G376" s="4"/>
      <c r="H376" s="1"/>
      <c r="I376" s="3"/>
    </row>
    <row r="377" spans="4:9" x14ac:dyDescent="0.3">
      <c r="D377" s="15"/>
      <c r="E377" s="2"/>
      <c r="F377" s="2"/>
      <c r="G377" s="4"/>
      <c r="H377" s="1"/>
      <c r="I377" s="3"/>
    </row>
    <row r="378" spans="4:9" x14ac:dyDescent="0.3">
      <c r="D378" s="15"/>
      <c r="E378" s="2"/>
      <c r="F378" s="2"/>
      <c r="G378" s="4"/>
      <c r="H378" s="1"/>
      <c r="I378" s="3"/>
    </row>
    <row r="379" spans="4:9" x14ac:dyDescent="0.3">
      <c r="D379" s="15"/>
      <c r="E379" s="2"/>
      <c r="F379" s="2"/>
      <c r="G379" s="4"/>
      <c r="H379" s="1"/>
      <c r="I379" s="3"/>
    </row>
    <row r="380" spans="4:9" x14ac:dyDescent="0.3">
      <c r="D380" s="15"/>
      <c r="E380" s="2"/>
      <c r="F380" s="2"/>
      <c r="G380" s="4"/>
      <c r="H380" s="1"/>
      <c r="I380" s="3"/>
    </row>
    <row r="381" spans="4:9" x14ac:dyDescent="0.3">
      <c r="D381" s="15"/>
      <c r="E381" s="2"/>
      <c r="F381" s="2"/>
      <c r="G381" s="4"/>
      <c r="H381" s="1"/>
      <c r="I381" s="3"/>
    </row>
    <row r="382" spans="4:9" x14ac:dyDescent="0.3">
      <c r="D382" s="15"/>
      <c r="E382" s="2"/>
      <c r="F382" s="2"/>
      <c r="G382" s="4"/>
      <c r="H382" s="1"/>
      <c r="I382" s="3"/>
    </row>
    <row r="383" spans="4:9" x14ac:dyDescent="0.3">
      <c r="D383" s="15"/>
      <c r="E383" s="2"/>
      <c r="F383" s="2"/>
      <c r="G383" s="4"/>
      <c r="H383" s="1"/>
      <c r="I383" s="3"/>
    </row>
    <row r="384" spans="4:9" x14ac:dyDescent="0.3">
      <c r="D384" s="15"/>
      <c r="E384" s="2"/>
      <c r="F384" s="2"/>
      <c r="G384" s="4"/>
      <c r="H384" s="1"/>
      <c r="I384" s="3"/>
    </row>
    <row r="385" spans="4:9" x14ac:dyDescent="0.3">
      <c r="D385" s="15"/>
      <c r="E385" s="2"/>
      <c r="F385" s="2"/>
      <c r="G385" s="4"/>
      <c r="H385" s="1"/>
      <c r="I385" s="3"/>
    </row>
    <row r="386" spans="4:9" x14ac:dyDescent="0.3">
      <c r="D386" s="15"/>
      <c r="E386" s="2"/>
      <c r="F386" s="2"/>
      <c r="G386" s="4"/>
      <c r="H386" s="1"/>
      <c r="I386" s="3"/>
    </row>
    <row r="387" spans="4:9" x14ac:dyDescent="0.3">
      <c r="D387" s="15"/>
      <c r="E387" s="2"/>
      <c r="F387" s="2"/>
      <c r="G387" s="4"/>
      <c r="H387" s="1"/>
      <c r="I387" s="3"/>
    </row>
    <row r="388" spans="4:9" x14ac:dyDescent="0.3">
      <c r="D388" s="15"/>
      <c r="E388" s="2"/>
      <c r="F388" s="2"/>
      <c r="G388" s="4"/>
      <c r="H388" s="1"/>
      <c r="I388" s="3"/>
    </row>
    <row r="389" spans="4:9" x14ac:dyDescent="0.3">
      <c r="D389" s="15"/>
      <c r="E389" s="2"/>
      <c r="F389" s="2"/>
      <c r="G389" s="4"/>
      <c r="H389" s="1"/>
      <c r="I389" s="3"/>
    </row>
    <row r="390" spans="4:9" x14ac:dyDescent="0.3">
      <c r="D390" s="15"/>
      <c r="E390" s="2"/>
      <c r="F390" s="2"/>
      <c r="G390" s="4"/>
      <c r="H390" s="1"/>
      <c r="I390" s="3"/>
    </row>
    <row r="391" spans="4:9" x14ac:dyDescent="0.3">
      <c r="D391" s="15"/>
      <c r="E391" s="2"/>
      <c r="F391" s="2"/>
      <c r="G391" s="4"/>
      <c r="H391" s="1"/>
      <c r="I391" s="3"/>
    </row>
    <row r="392" spans="4:9" x14ac:dyDescent="0.3">
      <c r="D392" s="15"/>
      <c r="E392" s="2"/>
      <c r="F392" s="2"/>
      <c r="G392" s="4"/>
      <c r="H392" s="1"/>
      <c r="I392" s="3"/>
    </row>
    <row r="393" spans="4:9" x14ac:dyDescent="0.3">
      <c r="D393" s="15"/>
      <c r="E393" s="2"/>
      <c r="F393" s="2"/>
      <c r="G393" s="4"/>
      <c r="H393" s="1"/>
      <c r="I393" s="3"/>
    </row>
    <row r="394" spans="4:9" x14ac:dyDescent="0.3">
      <c r="D394" s="15"/>
      <c r="E394" s="2"/>
      <c r="F394" s="2"/>
      <c r="G394" s="4"/>
      <c r="H394" s="1"/>
      <c r="I394" s="3"/>
    </row>
    <row r="395" spans="4:9" x14ac:dyDescent="0.3">
      <c r="D395" s="15"/>
      <c r="E395" s="2"/>
      <c r="F395" s="2"/>
      <c r="G395" s="4"/>
      <c r="H395" s="1"/>
      <c r="I395" s="3"/>
    </row>
    <row r="396" spans="4:9" x14ac:dyDescent="0.3">
      <c r="D396" s="15"/>
      <c r="E396" s="2"/>
      <c r="F396" s="2"/>
      <c r="G396" s="4"/>
      <c r="H396" s="1"/>
      <c r="I396" s="3"/>
    </row>
    <row r="397" spans="4:9" x14ac:dyDescent="0.3">
      <c r="D397" s="15"/>
      <c r="E397" s="2"/>
      <c r="F397" s="2"/>
      <c r="G397" s="4"/>
      <c r="H397" s="1"/>
      <c r="I397" s="3"/>
    </row>
    <row r="398" spans="4:9" x14ac:dyDescent="0.3">
      <c r="D398" s="15"/>
      <c r="E398" s="2"/>
      <c r="F398" s="2"/>
      <c r="G398" s="4"/>
      <c r="H398" s="1"/>
      <c r="I398" s="3"/>
    </row>
    <row r="399" spans="4:9" x14ac:dyDescent="0.3">
      <c r="D399" s="15"/>
      <c r="E399" s="2"/>
      <c r="F399" s="2"/>
      <c r="G399" s="4"/>
      <c r="H399" s="1"/>
      <c r="I399" s="3"/>
    </row>
    <row r="400" spans="4:9" x14ac:dyDescent="0.3">
      <c r="D400" s="15"/>
      <c r="E400" s="2"/>
      <c r="F400" s="2"/>
      <c r="G400" s="4"/>
      <c r="H400" s="1"/>
      <c r="I400" s="3"/>
    </row>
    <row r="401" spans="4:9" x14ac:dyDescent="0.3">
      <c r="D401" s="15"/>
      <c r="E401" s="2"/>
      <c r="F401" s="2"/>
      <c r="G401" s="4"/>
      <c r="H401" s="1"/>
      <c r="I401" s="3"/>
    </row>
    <row r="402" spans="4:9" x14ac:dyDescent="0.3">
      <c r="D402" s="15"/>
      <c r="E402" s="2"/>
      <c r="F402" s="2"/>
      <c r="G402" s="4"/>
      <c r="H402" s="1"/>
      <c r="I402" s="3"/>
    </row>
    <row r="403" spans="4:9" x14ac:dyDescent="0.3">
      <c r="D403" s="15"/>
      <c r="E403" s="2"/>
      <c r="F403" s="2"/>
      <c r="G403" s="4"/>
      <c r="H403" s="1"/>
      <c r="I403" s="3"/>
    </row>
    <row r="404" spans="4:9" x14ac:dyDescent="0.3">
      <c r="D404" s="15"/>
      <c r="E404" s="2"/>
      <c r="F404" s="2"/>
      <c r="G404" s="4"/>
      <c r="H404" s="1"/>
      <c r="I404" s="3"/>
    </row>
    <row r="405" spans="4:9" x14ac:dyDescent="0.3">
      <c r="D405" s="15"/>
      <c r="E405" s="2"/>
      <c r="F405" s="2"/>
      <c r="G405" s="4"/>
      <c r="H405" s="1"/>
      <c r="I405" s="3"/>
    </row>
    <row r="406" spans="4:9" x14ac:dyDescent="0.3">
      <c r="D406" s="15"/>
      <c r="E406" s="2"/>
      <c r="F406" s="2"/>
      <c r="G406" s="4"/>
      <c r="H406" s="1"/>
      <c r="I406" s="3"/>
    </row>
    <row r="407" spans="4:9" x14ac:dyDescent="0.3">
      <c r="D407" s="15"/>
      <c r="E407" s="2"/>
      <c r="F407" s="2"/>
      <c r="G407" s="4"/>
      <c r="H407" s="1"/>
      <c r="I407" s="3"/>
    </row>
    <row r="408" spans="4:9" x14ac:dyDescent="0.3">
      <c r="D408" s="15"/>
      <c r="E408" s="2"/>
      <c r="F408" s="2"/>
      <c r="G408" s="4"/>
      <c r="H408" s="1"/>
      <c r="I408" s="3"/>
    </row>
    <row r="409" spans="4:9" x14ac:dyDescent="0.3">
      <c r="D409" s="15"/>
      <c r="E409" s="2"/>
      <c r="F409" s="2"/>
      <c r="G409" s="4"/>
      <c r="H409" s="1"/>
      <c r="I409" s="3"/>
    </row>
    <row r="410" spans="4:9" x14ac:dyDescent="0.3">
      <c r="D410" s="15"/>
      <c r="E410" s="2"/>
      <c r="F410" s="2"/>
      <c r="G410" s="4"/>
      <c r="H410" s="1"/>
      <c r="I410" s="3"/>
    </row>
    <row r="411" spans="4:9" x14ac:dyDescent="0.3">
      <c r="D411" s="15"/>
      <c r="E411" s="2"/>
      <c r="F411" s="2"/>
      <c r="G411" s="4"/>
      <c r="H411" s="1"/>
      <c r="I411" s="3"/>
    </row>
    <row r="412" spans="4:9" x14ac:dyDescent="0.3">
      <c r="D412" s="15"/>
      <c r="E412" s="2"/>
      <c r="F412" s="2"/>
      <c r="G412" s="4"/>
      <c r="H412" s="1"/>
      <c r="I412" s="3"/>
    </row>
    <row r="413" spans="4:9" x14ac:dyDescent="0.3">
      <c r="D413" s="15"/>
      <c r="E413" s="2"/>
      <c r="F413" s="2"/>
      <c r="G413" s="4"/>
      <c r="H413" s="1"/>
      <c r="I413" s="3"/>
    </row>
    <row r="414" spans="4:9" x14ac:dyDescent="0.3">
      <c r="D414" s="15"/>
      <c r="E414" s="2"/>
      <c r="F414" s="2"/>
      <c r="G414" s="4"/>
      <c r="H414" s="1"/>
      <c r="I414" s="3"/>
    </row>
    <row r="415" spans="4:9" x14ac:dyDescent="0.3">
      <c r="D415" s="15"/>
      <c r="E415" s="2"/>
      <c r="F415" s="2"/>
      <c r="G415" s="4"/>
      <c r="H415" s="1"/>
      <c r="I415" s="3"/>
    </row>
    <row r="416" spans="4:9" x14ac:dyDescent="0.3">
      <c r="D416" s="15"/>
      <c r="E416" s="2"/>
      <c r="F416" s="2"/>
      <c r="G416" s="4"/>
      <c r="H416" s="1"/>
      <c r="I416" s="3"/>
    </row>
    <row r="417" spans="4:9" x14ac:dyDescent="0.3">
      <c r="D417" s="15"/>
      <c r="E417" s="2"/>
      <c r="F417" s="2"/>
      <c r="G417" s="4"/>
      <c r="H417" s="1"/>
      <c r="I417" s="3"/>
    </row>
    <row r="418" spans="4:9" x14ac:dyDescent="0.3">
      <c r="D418" s="15"/>
      <c r="E418" s="2"/>
      <c r="F418" s="2"/>
      <c r="G418" s="4"/>
      <c r="H418" s="1"/>
      <c r="I418" s="3"/>
    </row>
    <row r="419" spans="4:9" x14ac:dyDescent="0.3">
      <c r="D419" s="15"/>
      <c r="E419" s="2"/>
      <c r="F419" s="2"/>
      <c r="G419" s="4"/>
      <c r="H419" s="1"/>
      <c r="I419" s="3"/>
    </row>
    <row r="420" spans="4:9" x14ac:dyDescent="0.3">
      <c r="D420" s="15"/>
      <c r="E420" s="2"/>
      <c r="F420" s="2"/>
      <c r="G420" s="4"/>
      <c r="H420" s="1"/>
      <c r="I420" s="3"/>
    </row>
    <row r="421" spans="4:9" x14ac:dyDescent="0.3">
      <c r="D421" s="15"/>
      <c r="E421" s="2"/>
      <c r="F421" s="2"/>
      <c r="G421" s="4"/>
      <c r="H421" s="1"/>
      <c r="I421" s="3"/>
    </row>
    <row r="422" spans="4:9" x14ac:dyDescent="0.3">
      <c r="D422" s="15"/>
      <c r="E422" s="2"/>
      <c r="F422" s="2"/>
      <c r="G422" s="4"/>
      <c r="H422" s="1"/>
      <c r="I422" s="3"/>
    </row>
    <row r="423" spans="4:9" x14ac:dyDescent="0.3">
      <c r="D423" s="15"/>
      <c r="E423" s="2"/>
      <c r="F423" s="2"/>
      <c r="G423" s="4"/>
      <c r="H423" s="1"/>
      <c r="I423" s="3"/>
    </row>
    <row r="424" spans="4:9" x14ac:dyDescent="0.3">
      <c r="D424" s="15"/>
      <c r="E424" s="2"/>
      <c r="F424" s="2"/>
      <c r="G424" s="4"/>
      <c r="H424" s="1"/>
      <c r="I424" s="3"/>
    </row>
    <row r="425" spans="4:9" x14ac:dyDescent="0.3">
      <c r="D425" s="15"/>
      <c r="E425" s="2"/>
      <c r="F425" s="2"/>
      <c r="G425" s="4"/>
      <c r="H425" s="1"/>
      <c r="I425" s="3"/>
    </row>
    <row r="426" spans="4:9" x14ac:dyDescent="0.3">
      <c r="D426" s="15"/>
      <c r="E426" s="2"/>
      <c r="F426" s="2"/>
      <c r="G426" s="4"/>
      <c r="H426" s="1"/>
      <c r="I426" s="3"/>
    </row>
    <row r="427" spans="4:9" x14ac:dyDescent="0.3">
      <c r="D427" s="15"/>
      <c r="E427" s="2"/>
      <c r="F427" s="2"/>
      <c r="G427" s="4"/>
      <c r="H427" s="1"/>
      <c r="I427" s="3"/>
    </row>
    <row r="428" spans="4:9" x14ac:dyDescent="0.3">
      <c r="D428" s="15"/>
      <c r="E428" s="2"/>
      <c r="F428" s="2"/>
      <c r="G428" s="4"/>
      <c r="H428" s="1"/>
      <c r="I428" s="3"/>
    </row>
    <row r="429" spans="4:9" x14ac:dyDescent="0.3">
      <c r="D429" s="15"/>
      <c r="E429" s="2"/>
      <c r="F429" s="2"/>
      <c r="G429" s="4"/>
      <c r="H429" s="1"/>
      <c r="I429" s="3"/>
    </row>
    <row r="430" spans="4:9" x14ac:dyDescent="0.3">
      <c r="D430" s="15"/>
      <c r="E430" s="2"/>
      <c r="F430" s="2"/>
      <c r="G430" s="4"/>
      <c r="H430" s="1"/>
      <c r="I430" s="3"/>
    </row>
    <row r="431" spans="4:9" x14ac:dyDescent="0.3">
      <c r="D431" s="15"/>
      <c r="E431" s="2"/>
      <c r="F431" s="2"/>
      <c r="G431" s="4"/>
      <c r="H431" s="1"/>
      <c r="I431" s="3"/>
    </row>
    <row r="432" spans="4:9" x14ac:dyDescent="0.3">
      <c r="D432" s="15"/>
      <c r="E432" s="2"/>
      <c r="F432" s="2"/>
      <c r="G432" s="4"/>
      <c r="H432" s="1"/>
      <c r="I432" s="3"/>
    </row>
    <row r="433" spans="4:9" x14ac:dyDescent="0.3">
      <c r="D433" s="15"/>
      <c r="E433" s="2"/>
      <c r="F433" s="2"/>
      <c r="G433" s="4"/>
      <c r="H433" s="1"/>
      <c r="I433" s="3"/>
    </row>
    <row r="434" spans="4:9" x14ac:dyDescent="0.3">
      <c r="D434" s="15"/>
      <c r="E434" s="2"/>
      <c r="F434" s="2"/>
      <c r="G434" s="4"/>
      <c r="H434" s="1"/>
      <c r="I434" s="3"/>
    </row>
    <row r="435" spans="4:9" x14ac:dyDescent="0.3">
      <c r="D435" s="15"/>
      <c r="E435" s="2"/>
      <c r="F435" s="2"/>
      <c r="G435" s="4"/>
      <c r="H435" s="1"/>
      <c r="I435" s="3"/>
    </row>
    <row r="436" spans="4:9" x14ac:dyDescent="0.3">
      <c r="D436" s="15"/>
      <c r="E436" s="2"/>
      <c r="F436" s="2"/>
      <c r="G436" s="4"/>
      <c r="H436" s="1"/>
      <c r="I436" s="3"/>
    </row>
    <row r="437" spans="4:9" x14ac:dyDescent="0.3">
      <c r="D437" s="15"/>
      <c r="E437" s="2"/>
      <c r="F437" s="2"/>
      <c r="G437" s="4"/>
      <c r="H437" s="1"/>
      <c r="I437" s="3"/>
    </row>
    <row r="438" spans="4:9" x14ac:dyDescent="0.3">
      <c r="D438" s="15"/>
      <c r="E438" s="2"/>
      <c r="F438" s="2"/>
      <c r="G438" s="4"/>
      <c r="H438" s="1"/>
      <c r="I438" s="3"/>
    </row>
    <row r="439" spans="4:9" x14ac:dyDescent="0.3">
      <c r="D439" s="15"/>
      <c r="E439" s="2"/>
      <c r="F439" s="2"/>
      <c r="G439" s="4"/>
      <c r="H439" s="1"/>
      <c r="I439" s="3"/>
    </row>
    <row r="440" spans="4:9" x14ac:dyDescent="0.3">
      <c r="D440" s="15"/>
      <c r="E440" s="2"/>
      <c r="F440" s="2"/>
      <c r="G440" s="4"/>
      <c r="H440" s="1"/>
      <c r="I440" s="3"/>
    </row>
    <row r="441" spans="4:9" x14ac:dyDescent="0.3">
      <c r="D441" s="15"/>
      <c r="E441" s="2"/>
      <c r="F441" s="2"/>
      <c r="G441" s="4"/>
      <c r="H441" s="1"/>
      <c r="I441" s="3"/>
    </row>
    <row r="442" spans="4:9" x14ac:dyDescent="0.3">
      <c r="D442" s="15"/>
      <c r="E442" s="2"/>
      <c r="F442" s="2"/>
      <c r="G442" s="4"/>
      <c r="H442" s="1"/>
      <c r="I442" s="3"/>
    </row>
    <row r="443" spans="4:9" x14ac:dyDescent="0.3">
      <c r="D443" s="15"/>
      <c r="E443" s="2"/>
      <c r="F443" s="2"/>
      <c r="G443" s="4"/>
      <c r="H443" s="1"/>
      <c r="I443" s="3"/>
    </row>
    <row r="444" spans="4:9" x14ac:dyDescent="0.3">
      <c r="D444" s="15"/>
      <c r="E444" s="2"/>
      <c r="F444" s="2"/>
      <c r="G444" s="4"/>
      <c r="H444" s="1"/>
      <c r="I444" s="3"/>
    </row>
    <row r="445" spans="4:9" x14ac:dyDescent="0.3">
      <c r="D445" s="15"/>
      <c r="E445" s="2"/>
      <c r="F445" s="2"/>
      <c r="G445" s="4"/>
      <c r="H445" s="1"/>
      <c r="I445" s="3"/>
    </row>
    <row r="446" spans="4:9" x14ac:dyDescent="0.3">
      <c r="D446" s="15"/>
      <c r="E446" s="2"/>
      <c r="F446" s="2"/>
      <c r="G446" s="4"/>
      <c r="H446" s="1"/>
      <c r="I446" s="3"/>
    </row>
    <row r="447" spans="4:9" x14ac:dyDescent="0.3">
      <c r="D447" s="15"/>
      <c r="E447" s="2"/>
      <c r="F447" s="2"/>
      <c r="G447" s="4"/>
      <c r="H447" s="1"/>
      <c r="I447" s="3"/>
    </row>
    <row r="448" spans="4:9" x14ac:dyDescent="0.3">
      <c r="D448" s="15"/>
      <c r="E448" s="2"/>
      <c r="F448" s="2"/>
      <c r="G448" s="4"/>
      <c r="H448" s="1"/>
      <c r="I448" s="3"/>
    </row>
    <row r="449" spans="4:9" x14ac:dyDescent="0.3">
      <c r="D449" s="15"/>
      <c r="E449" s="2"/>
      <c r="F449" s="2"/>
      <c r="G449" s="4"/>
      <c r="H449" s="1"/>
      <c r="I449" s="3"/>
    </row>
    <row r="450" spans="4:9" x14ac:dyDescent="0.3">
      <c r="D450" s="15"/>
      <c r="E450" s="2"/>
      <c r="F450" s="2"/>
      <c r="G450" s="4"/>
      <c r="H450" s="1"/>
      <c r="I450" s="3"/>
    </row>
    <row r="451" spans="4:9" x14ac:dyDescent="0.3">
      <c r="D451" s="15"/>
      <c r="E451" s="2"/>
      <c r="F451" s="2"/>
      <c r="G451" s="4"/>
      <c r="H451" s="1"/>
      <c r="I451" s="3"/>
    </row>
    <row r="452" spans="4:9" x14ac:dyDescent="0.3">
      <c r="D452" s="15"/>
      <c r="E452" s="2"/>
      <c r="F452" s="2"/>
      <c r="G452" s="4"/>
      <c r="H452" s="1"/>
      <c r="I452" s="3"/>
    </row>
    <row r="453" spans="4:9" x14ac:dyDescent="0.3">
      <c r="D453" s="15"/>
      <c r="E453" s="2"/>
      <c r="F453" s="2"/>
      <c r="G453" s="4"/>
      <c r="H453" s="1"/>
      <c r="I453" s="3"/>
    </row>
    <row r="454" spans="4:9" x14ac:dyDescent="0.3">
      <c r="D454" s="15"/>
      <c r="E454" s="2"/>
      <c r="F454" s="2"/>
      <c r="G454" s="4"/>
      <c r="H454" s="1"/>
      <c r="I454" s="3"/>
    </row>
    <row r="455" spans="4:9" x14ac:dyDescent="0.3">
      <c r="D455" s="15"/>
      <c r="E455" s="2"/>
      <c r="F455" s="2"/>
      <c r="G455" s="4"/>
      <c r="H455" s="1"/>
      <c r="I455" s="3"/>
    </row>
    <row r="456" spans="4:9" x14ac:dyDescent="0.3">
      <c r="D456" s="15"/>
      <c r="E456" s="2"/>
      <c r="F456" s="2"/>
      <c r="G456" s="4"/>
      <c r="H456" s="1"/>
      <c r="I456" s="3"/>
    </row>
    <row r="457" spans="4:9" x14ac:dyDescent="0.3">
      <c r="D457" s="15"/>
      <c r="E457" s="2"/>
      <c r="F457" s="2"/>
      <c r="G457" s="4"/>
      <c r="H457" s="1"/>
      <c r="I457" s="3"/>
    </row>
    <row r="458" spans="4:9" x14ac:dyDescent="0.3">
      <c r="D458" s="15"/>
      <c r="E458" s="2"/>
      <c r="F458" s="2"/>
      <c r="G458" s="4"/>
      <c r="H458" s="1"/>
      <c r="I458" s="3"/>
    </row>
    <row r="459" spans="4:9" x14ac:dyDescent="0.3">
      <c r="D459" s="15"/>
      <c r="E459" s="2"/>
      <c r="F459" s="2"/>
      <c r="G459" s="4"/>
      <c r="H459" s="1"/>
      <c r="I459" s="3"/>
    </row>
    <row r="460" spans="4:9" x14ac:dyDescent="0.3">
      <c r="D460" s="15"/>
      <c r="E460" s="2"/>
      <c r="F460" s="2"/>
      <c r="G460" s="4"/>
      <c r="H460" s="1"/>
      <c r="I460" s="3"/>
    </row>
    <row r="461" spans="4:9" x14ac:dyDescent="0.3">
      <c r="D461" s="15"/>
      <c r="E461" s="2"/>
      <c r="F461" s="2"/>
      <c r="G461" s="4"/>
      <c r="H461" s="1"/>
      <c r="I461" s="3"/>
    </row>
    <row r="462" spans="4:9" x14ac:dyDescent="0.3">
      <c r="D462" s="15"/>
      <c r="E462" s="2"/>
      <c r="F462" s="2"/>
      <c r="G462" s="4"/>
      <c r="H462" s="1"/>
      <c r="I462" s="3"/>
    </row>
    <row r="463" spans="4:9" x14ac:dyDescent="0.3">
      <c r="D463" s="15"/>
      <c r="E463" s="2"/>
      <c r="F463" s="2"/>
      <c r="G463" s="4"/>
      <c r="H463" s="1"/>
      <c r="I463" s="3"/>
    </row>
    <row r="464" spans="4:9" x14ac:dyDescent="0.3">
      <c r="D464" s="15"/>
      <c r="E464" s="2"/>
      <c r="F464" s="2"/>
      <c r="G464" s="4"/>
      <c r="H464" s="1"/>
      <c r="I464" s="3"/>
    </row>
    <row r="465" spans="4:9" x14ac:dyDescent="0.3">
      <c r="D465" s="15"/>
      <c r="E465" s="2"/>
      <c r="F465" s="2"/>
      <c r="G465" s="4"/>
      <c r="H465" s="1"/>
      <c r="I465" s="3"/>
    </row>
    <row r="466" spans="4:9" x14ac:dyDescent="0.3">
      <c r="D466" s="15"/>
      <c r="E466" s="2"/>
      <c r="F466" s="2"/>
      <c r="G466" s="4"/>
      <c r="H466" s="1"/>
      <c r="I466" s="3"/>
    </row>
    <row r="467" spans="4:9" x14ac:dyDescent="0.3">
      <c r="D467" s="15"/>
      <c r="E467" s="2"/>
      <c r="F467" s="2"/>
      <c r="G467" s="4"/>
      <c r="H467" s="1"/>
      <c r="I467" s="3"/>
    </row>
    <row r="468" spans="4:9" x14ac:dyDescent="0.3">
      <c r="D468" s="15"/>
      <c r="E468" s="2"/>
      <c r="F468" s="2"/>
      <c r="G468" s="4"/>
      <c r="H468" s="1"/>
      <c r="I468" s="3"/>
    </row>
    <row r="469" spans="4:9" x14ac:dyDescent="0.3">
      <c r="D469" s="15"/>
      <c r="E469" s="2"/>
      <c r="F469" s="2"/>
      <c r="G469" s="4"/>
      <c r="H469" s="1"/>
      <c r="I469" s="3"/>
    </row>
    <row r="470" spans="4:9" x14ac:dyDescent="0.3">
      <c r="D470" s="15"/>
      <c r="E470" s="2"/>
      <c r="F470" s="2"/>
      <c r="G470" s="4"/>
      <c r="H470" s="1"/>
      <c r="I470" s="3"/>
    </row>
    <row r="471" spans="4:9" x14ac:dyDescent="0.3">
      <c r="D471" s="15"/>
      <c r="E471" s="2"/>
      <c r="F471" s="2"/>
      <c r="G471" s="4"/>
      <c r="H471" s="1"/>
      <c r="I471" s="3"/>
    </row>
    <row r="472" spans="4:9" x14ac:dyDescent="0.3">
      <c r="D472" s="15"/>
      <c r="E472" s="2"/>
      <c r="F472" s="2"/>
      <c r="G472" s="4"/>
      <c r="H472" s="1"/>
      <c r="I472" s="3"/>
    </row>
    <row r="473" spans="4:9" x14ac:dyDescent="0.3">
      <c r="D473" s="15"/>
      <c r="E473" s="2"/>
      <c r="F473" s="2"/>
      <c r="G473" s="4"/>
      <c r="H473" s="1"/>
      <c r="I473" s="3"/>
    </row>
    <row r="474" spans="4:9" x14ac:dyDescent="0.3">
      <c r="D474" s="15"/>
      <c r="E474" s="2"/>
      <c r="F474" s="2"/>
      <c r="G474" s="4"/>
      <c r="H474" s="1"/>
      <c r="I474" s="3"/>
    </row>
    <row r="475" spans="4:9" x14ac:dyDescent="0.3">
      <c r="D475" s="15"/>
      <c r="E475" s="2"/>
      <c r="F475" s="2"/>
      <c r="G475" s="4"/>
      <c r="H475" s="1"/>
      <c r="I475" s="3"/>
    </row>
    <row r="476" spans="4:9" x14ac:dyDescent="0.3">
      <c r="D476" s="15"/>
      <c r="E476" s="2"/>
      <c r="F476" s="2"/>
      <c r="G476" s="4"/>
      <c r="H476" s="1"/>
      <c r="I476" s="3"/>
    </row>
    <row r="477" spans="4:9" x14ac:dyDescent="0.3">
      <c r="D477" s="15"/>
      <c r="E477" s="2"/>
      <c r="F477" s="2"/>
      <c r="G477" s="4"/>
      <c r="H477" s="1"/>
      <c r="I477" s="3"/>
    </row>
    <row r="478" spans="4:9" x14ac:dyDescent="0.3">
      <c r="D478" s="15"/>
      <c r="E478" s="2"/>
      <c r="F478" s="2"/>
      <c r="G478" s="4"/>
      <c r="H478" s="1"/>
      <c r="I478" s="3"/>
    </row>
    <row r="479" spans="4:9" x14ac:dyDescent="0.3">
      <c r="D479" s="15"/>
      <c r="E479" s="2"/>
      <c r="F479" s="2"/>
      <c r="G479" s="4"/>
      <c r="H479" s="1"/>
      <c r="I479" s="3"/>
    </row>
    <row r="480" spans="4:9" x14ac:dyDescent="0.3">
      <c r="D480" s="15"/>
      <c r="E480" s="2"/>
      <c r="F480" s="2"/>
      <c r="G480" s="4"/>
      <c r="H480" s="1"/>
      <c r="I480" s="3"/>
    </row>
    <row r="481" spans="4:9" x14ac:dyDescent="0.3">
      <c r="D481" s="15"/>
      <c r="E481" s="2"/>
      <c r="F481" s="2"/>
      <c r="G481" s="4"/>
      <c r="H481" s="1"/>
      <c r="I481" s="3"/>
    </row>
    <row r="482" spans="4:9" x14ac:dyDescent="0.3">
      <c r="D482" s="15"/>
      <c r="E482" s="2"/>
      <c r="F482" s="2"/>
      <c r="G482" s="4"/>
      <c r="H482" s="1"/>
      <c r="I482" s="3"/>
    </row>
    <row r="483" spans="4:9" x14ac:dyDescent="0.3">
      <c r="D483" s="15"/>
      <c r="E483" s="2"/>
      <c r="F483" s="2"/>
      <c r="G483" s="4"/>
      <c r="H483" s="1"/>
      <c r="I483" s="3"/>
    </row>
    <row r="484" spans="4:9" x14ac:dyDescent="0.3">
      <c r="D484" s="15"/>
      <c r="E484" s="2"/>
      <c r="F484" s="2"/>
      <c r="G484" s="4"/>
      <c r="H484" s="1"/>
      <c r="I484" s="3"/>
    </row>
    <row r="485" spans="4:9" x14ac:dyDescent="0.3">
      <c r="D485" s="15"/>
      <c r="E485" s="2"/>
      <c r="F485" s="2"/>
      <c r="G485" s="4"/>
      <c r="H485" s="1"/>
      <c r="I485" s="3"/>
    </row>
    <row r="486" spans="4:9" x14ac:dyDescent="0.3">
      <c r="D486" s="15"/>
      <c r="E486" s="2"/>
      <c r="F486" s="2"/>
      <c r="G486" s="4"/>
      <c r="H486" s="1"/>
      <c r="I486" s="3"/>
    </row>
  </sheetData>
  <autoFilter ref="B1:K38" xr:uid="{00000000-0001-0000-0000-000000000000}"/>
  <phoneticPr fontId="2" type="noConversion"/>
  <conditionalFormatting sqref="A2:A45">
    <cfRule type="containsText" dxfId="0" priority="1" operator="containsText" text="O">
      <formula>NOT(ISERROR(SEARCH("O",A2)))</formula>
    </cfRule>
  </conditionalFormatting>
  <conditionalFormatting sqref="D7:D45">
    <cfRule type="dataBar" priority="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{28D47A77-6129-41A8-9259-4504D204349B}</x14:id>
        </ext>
      </extLst>
    </cfRule>
  </conditionalFormatting>
  <conditionalFormatting sqref="H7:H45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{725441B2-123D-436E-B4F6-E72CC9B11343}</x14:id>
        </ext>
      </extLst>
    </cfRule>
  </conditionalFormatting>
  <conditionalFormatting sqref="I7:I45">
    <cfRule type="dataBar" priority="8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{FA1F2443-3C71-46AD-9B71-EEB929A3A03D}</x14:id>
        </ext>
      </extLst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47A77-6129-41A8-9259-4504D20434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D7:D45</xm:sqref>
        </x14:conditionalFormatting>
        <x14:conditionalFormatting xmlns:xm="http://schemas.microsoft.com/office/excel/2006/main">
          <x14:cfRule type="dataBar" id="{725441B2-123D-436E-B4F6-E72CC9B113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H7:H45</xm:sqref>
        </x14:conditionalFormatting>
        <x14:conditionalFormatting xmlns:xm="http://schemas.microsoft.com/office/excel/2006/main">
          <x14:cfRule type="dataBar" id="{FA1F2443-3C71-46AD-9B71-EEB929A3A0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I7:I45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SANGJIN PARK</dc:creator>
  <cp:lastModifiedBy>SANGJIN PARK</cp:lastModifiedBy>
  <dcterms:created xsi:type="dcterms:W3CDTF">2015-06-05T18:19:34Z</dcterms:created>
  <dcterms:modified xsi:type="dcterms:W3CDTF">2026-02-03T09:51:58Z</dcterms:modified>
</cp:coreProperties>
</file>